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案例" sheetId="2" state="visible" r:id="rId2"/>
    <sheet name="价值内涵与税费" sheetId="3" state="visible" r:id="rId3"/>
    <sheet name="市场法" sheetId="4" state="visible" r:id="rId4"/>
    <sheet name="收益法" sheetId="5" state="visible" r:id="rId5"/>
    <sheet name="成本法" sheetId="6" state="visible" r:id="rId6"/>
    <sheet name="估值结果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等线"/>
      <b val="1"/>
      <sz val="14"/>
    </font>
    <font>
      <name val="等线"/>
      <color rgb="00808080"/>
      <sz val="9"/>
    </font>
    <font>
      <name val="等线"/>
      <b val="1"/>
      <sz val="10"/>
    </font>
    <font>
      <name val="等线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2" borderId="1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2" borderId="1" pivotButton="0" quotePrefix="0" xfId="0"/>
    <xf numFmtId="0" fontId="4" fillId="4" borderId="1" applyAlignment="1" pivotButton="0" quotePrefix="0" xfId="0">
      <alignment vertical="center" wrapText="1"/>
    </xf>
    <xf numFmtId="3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6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基础信息表</t>
        </is>
      </c>
    </row>
    <row r="2">
      <c r="A2" s="2" t="inlineStr">
        <is>
          <t>浅绿=输入区；浅黄=公式区；灰色=勾稽区。公式区请勿用数值覆盖。</t>
        </is>
      </c>
    </row>
    <row r="4">
      <c r="A4" s="3" t="inlineStr">
        <is>
          <t>一、项目输入</t>
        </is>
      </c>
    </row>
    <row r="5">
      <c r="A5" s="4" t="inlineStr">
        <is>
          <t>被评估单位</t>
        </is>
      </c>
      <c r="B5" s="5" t="n"/>
      <c r="C5" s="6" t="inlineStr">
        <is>
          <t>评估目的</t>
        </is>
      </c>
      <c r="F5" s="6" t="inlineStr">
        <is>
          <t>价值类型（市场价值/公允价值/投资价值/清算价值）</t>
        </is>
      </c>
    </row>
    <row r="6">
      <c r="A6" s="4" t="inlineStr">
        <is>
          <t>评估基准日</t>
        </is>
      </c>
      <c r="B6" s="5" t="n"/>
      <c r="C6" s="6" t="inlineStr">
        <is>
          <t>现场勘察日</t>
        </is>
      </c>
      <c r="F6" s="6" t="inlineStr">
        <is>
          <t>现场勘察人</t>
        </is>
      </c>
    </row>
    <row r="7">
      <c r="A7" s="4" t="inlineStr">
        <is>
          <t>价值内涵</t>
        </is>
      </c>
      <c r="B7" s="5" t="n"/>
      <c r="C7" s="6" t="inlineStr">
        <is>
          <t>财产范围/付款方式/融资条件/税费负担/计价单位/含税与否</t>
        </is>
      </c>
      <c r="F7" s="6" t="inlineStr">
        <is>
          <t>按 references/01 第4节六项逐项写明</t>
        </is>
      </c>
    </row>
    <row r="8">
      <c r="A8" s="4" t="inlineStr">
        <is>
          <t>采用结论的方法</t>
        </is>
      </c>
      <c r="B8" s="5" t="n"/>
      <c r="C8" s="6" t="inlineStr">
        <is>
          <t>市场法 / 收益法 / 成本法</t>
        </is>
      </c>
      <c r="F8" s="6" t="inlineStr">
        <is>
          <t>选定后在「估值结果汇总」标注</t>
        </is>
      </c>
    </row>
    <row r="10">
      <c r="A10" s="3" t="inlineStr">
        <is>
          <t>二、参数与税率登记（市场法与收益法共用）</t>
        </is>
      </c>
    </row>
    <row r="11">
      <c r="A11" s="7" t="inlineStr">
        <is>
          <t>参数名</t>
        </is>
      </c>
      <c r="B11" s="7" t="inlineStr">
        <is>
          <t>取值</t>
        </is>
      </c>
      <c r="C11" s="7" t="inlineStr">
        <is>
          <t>依据 / 来源</t>
        </is>
      </c>
      <c r="D11" s="7" t="inlineStr">
        <is>
          <t>时点 / 有效期</t>
        </is>
      </c>
      <c r="E11" s="7" t="inlineStr">
        <is>
          <t>取数人 / 待确认</t>
        </is>
      </c>
      <c r="F11" s="7" t="inlineStr">
        <is>
          <t>备注</t>
        </is>
      </c>
    </row>
    <row r="12">
      <c r="A12" s="8" t="inlineStr">
        <is>
          <t>增值税率（处置不动产）</t>
        </is>
      </c>
      <c r="B12" s="9" t="n">
        <v>0.09</v>
      </c>
      <c r="C12" s="6" t="inlineStr">
        <is>
          <t>现行增值税规定；以基准日有效正文为准</t>
        </is>
      </c>
      <c r="D12" s="10" t="n"/>
      <c r="E12" s="10" t="n"/>
      <c r="F12" s="10" t="n"/>
    </row>
    <row r="13">
      <c r="A13" s="8" t="inlineStr">
        <is>
          <t>增值税率（个人出租住房）</t>
        </is>
      </c>
      <c r="B13" s="9" t="n">
        <v>0.015</v>
      </c>
      <c r="C13" s="6" t="inlineStr">
        <is>
          <t>同上；出租主体为个人住房</t>
        </is>
      </c>
      <c r="D13" s="10" t="n"/>
      <c r="E13" s="10" t="n"/>
      <c r="F13" s="10" t="n"/>
    </row>
    <row r="14">
      <c r="A14" s="8" t="inlineStr">
        <is>
          <t>城建税率</t>
        </is>
      </c>
      <c r="B14" s="9" t="n">
        <v>0.07000000000000001</v>
      </c>
      <c r="C14" s="6" t="inlineStr">
        <is>
          <t>按项目所在地：市区7%/县镇5%/其他1%</t>
        </is>
      </c>
      <c r="D14" s="10" t="n"/>
      <c r="E14" s="10" t="n"/>
      <c r="F14" s="10" t="n"/>
    </row>
    <row r="15">
      <c r="A15" s="8" t="inlineStr">
        <is>
          <t>教育费附加</t>
        </is>
      </c>
      <c r="B15" s="9" t="n">
        <v>0.03</v>
      </c>
      <c r="C15" s="6" t="inlineStr">
        <is>
          <t>现行规定</t>
        </is>
      </c>
      <c r="D15" s="10" t="n"/>
      <c r="E15" s="10" t="n"/>
      <c r="F15" s="10" t="n"/>
    </row>
    <row r="16">
      <c r="A16" s="8" t="inlineStr">
        <is>
          <t>地方教育附加</t>
        </is>
      </c>
      <c r="B16" s="9" t="n">
        <v>0.02</v>
      </c>
      <c r="C16" s="6" t="inlineStr">
        <is>
          <t>按项目所在地</t>
        </is>
      </c>
      <c r="D16" s="10" t="n"/>
      <c r="E16" s="10" t="n"/>
      <c r="F16" s="10" t="n"/>
    </row>
    <row r="17">
      <c r="A17" s="8" t="inlineStr">
        <is>
          <t>土地增值税（核定）</t>
        </is>
      </c>
      <c r="B17" s="9" t="n">
        <v>0.05</v>
      </c>
      <c r="C17" s="6" t="inlineStr">
        <is>
          <t>非住宅企业转让核定征收率；以当地税务机关口径为准</t>
        </is>
      </c>
      <c r="D17" s="10" t="n"/>
      <c r="E17" s="10" t="n"/>
      <c r="F17" s="10" t="n"/>
    </row>
    <row r="18">
      <c r="A18" s="8" t="inlineStr">
        <is>
          <t>个人所得税（核定）</t>
        </is>
      </c>
      <c r="B18" s="9" t="n">
        <v>0.01</v>
      </c>
      <c r="C18" s="6" t="inlineStr">
        <is>
          <t>个人转让住房核定征收率；满五唯一免征</t>
        </is>
      </c>
      <c r="D18" s="10" t="n"/>
      <c r="E18" s="10" t="n"/>
      <c r="F18" s="10" t="n"/>
    </row>
    <row r="19">
      <c r="A19" s="8" t="inlineStr">
        <is>
          <t>契税率</t>
        </is>
      </c>
      <c r="B19" s="9" t="n">
        <v>0.01</v>
      </c>
      <c r="C19" s="6" t="inlineStr">
        <is>
          <t>买方负担，按当地套数/面积档</t>
        </is>
      </c>
      <c r="D19" s="10" t="n"/>
      <c r="E19" s="10" t="n"/>
      <c r="F19" s="10" t="n"/>
    </row>
    <row r="20">
      <c r="A20" s="8" t="inlineStr">
        <is>
          <t>房产税率</t>
        </is>
      </c>
      <c r="B20" s="9" t="n">
        <v>0.12</v>
      </c>
      <c r="C20" s="6" t="inlineStr">
        <is>
          <t>企业从租计征12%；个人出租住房常为4%</t>
        </is>
      </c>
      <c r="D20" s="10" t="n"/>
      <c r="E20" s="10" t="n"/>
      <c r="F20" s="10" t="n"/>
    </row>
    <row r="21">
      <c r="A21" s="8" t="inlineStr">
        <is>
          <t>城镇土地使用税（元/㎡·年）</t>
        </is>
      </c>
      <c r="B21" s="9" t="n">
        <v>24</v>
      </c>
      <c r="C21" s="6" t="inlineStr">
        <is>
          <t>当地地段等级标准</t>
        </is>
      </c>
      <c r="D21" s="10" t="n"/>
      <c r="E21" s="10" t="n"/>
      <c r="F21" s="10" t="n"/>
    </row>
    <row r="22">
      <c r="A22" s="8" t="inlineStr">
        <is>
          <t>容积率</t>
        </is>
      </c>
      <c r="B22" s="9" t="n">
        <v>1</v>
      </c>
      <c r="C22" s="6" t="inlineStr">
        <is>
          <t>项目规划指标</t>
        </is>
      </c>
      <c r="D22" s="10" t="n"/>
      <c r="E22" s="10" t="n"/>
      <c r="F22" s="10" t="n"/>
    </row>
    <row r="23">
      <c r="A23" s="8" t="inlineStr">
        <is>
          <t>印花税率</t>
        </is>
      </c>
      <c r="B23" s="9" t="n">
        <v>0.001</v>
      </c>
      <c r="C23" s="6" t="inlineStr">
        <is>
          <t>财产租赁合同</t>
        </is>
      </c>
      <c r="D23" s="10" t="n"/>
      <c r="E23" s="10" t="n"/>
      <c r="F23" s="10" t="n"/>
    </row>
    <row r="24">
      <c r="A24" s="8" t="inlineStr">
        <is>
          <t>空置率</t>
        </is>
      </c>
      <c r="B24" s="9" t="n">
        <v>0.1</v>
      </c>
      <c r="C24" s="6" t="inlineStr">
        <is>
          <t>当地同类物业调查 / 项目历史出租率</t>
        </is>
      </c>
      <c r="D24" s="10" t="n"/>
      <c r="E24" s="10" t="n"/>
      <c r="F24" s="10" t="n"/>
    </row>
    <row r="25">
      <c r="A25" s="8" t="inlineStr">
        <is>
          <t>报酬率 Y</t>
        </is>
      </c>
      <c r="B25" s="9" t="n">
        <v>0.06</v>
      </c>
      <c r="C25" s="6" t="inlineStr">
        <is>
          <t>安全利率 + 风险调整值，分项写明</t>
        </is>
      </c>
      <c r="D25" s="10" t="n"/>
      <c r="E25" s="10" t="n"/>
      <c r="F25" s="10" t="n"/>
    </row>
    <row r="26">
      <c r="A26" s="8" t="inlineStr">
        <is>
          <t>增长率 g</t>
        </is>
      </c>
      <c r="B26" s="9" t="n">
        <v>0.02</v>
      </c>
      <c r="C26" s="6" t="inlineStr">
        <is>
          <t>区域租售调查与预测</t>
        </is>
      </c>
      <c r="D26" s="10" t="n"/>
      <c r="E26" s="10" t="n"/>
      <c r="F26" s="10" t="n"/>
    </row>
    <row r="27">
      <c r="A27" s="8" t="inlineStr">
        <is>
          <t>一年期存款利率</t>
        </is>
      </c>
      <c r="B27" s="9" t="n">
        <v>0.0095</v>
      </c>
      <c r="C27" s="6" t="inlineStr">
        <is>
          <t>评估基准日人行公布值</t>
        </is>
      </c>
      <c r="D27" s="10" t="n"/>
      <c r="E27" s="10" t="n"/>
      <c r="F27" s="10" t="n"/>
    </row>
    <row r="28">
      <c r="A28" s="8" t="inlineStr">
        <is>
          <t>押金月数</t>
        </is>
      </c>
      <c r="B28" s="9" t="n">
        <v>1</v>
      </c>
      <c r="C28" s="6" t="inlineStr">
        <is>
          <t>租约或市场惯例</t>
        </is>
      </c>
      <c r="D28" s="10" t="n"/>
      <c r="E28" s="10" t="n"/>
      <c r="F28" s="10" t="n"/>
    </row>
    <row r="29">
      <c r="A29" s="8" t="inlineStr">
        <is>
          <t>管理费率</t>
        </is>
      </c>
      <c r="B29" s="9" t="n">
        <v>0.02</v>
      </c>
      <c r="C29" s="6" t="inlineStr">
        <is>
          <t>项目实际或行业惯例</t>
        </is>
      </c>
      <c r="D29" s="10" t="n"/>
      <c r="E29" s="10" t="n"/>
      <c r="F29" s="10" t="n"/>
    </row>
    <row r="30">
      <c r="A30" s="8" t="inlineStr">
        <is>
          <t>维修费率</t>
        </is>
      </c>
      <c r="B30" s="9" t="n">
        <v>0.02</v>
      </c>
      <c r="C30" s="6" t="inlineStr">
        <is>
          <t>房屋状况与行业惯例</t>
        </is>
      </c>
      <c r="D30" s="10" t="n"/>
      <c r="E30" s="10" t="n"/>
      <c r="F30" s="10" t="n"/>
    </row>
    <row r="31">
      <c r="A31" s="8" t="inlineStr">
        <is>
          <t>保险费率</t>
        </is>
      </c>
      <c r="B31" s="9" t="n">
        <v>0.001</v>
      </c>
      <c r="C31" s="6" t="inlineStr">
        <is>
          <t>保险公司报价</t>
        </is>
      </c>
      <c r="D31" s="10" t="n"/>
      <c r="E31" s="10" t="n"/>
      <c r="F31" s="10" t="n"/>
    </row>
    <row r="32">
      <c r="A32" s="8" t="inlineStr">
        <is>
          <t>建筑重置成本（元/㎡）</t>
        </is>
      </c>
      <c r="B32" s="9" t="n"/>
      <c r="C32" s="6" t="inlineStr">
        <is>
          <t>造价 / 决算 / 类比来源</t>
        </is>
      </c>
      <c r="D32" s="10" t="n"/>
      <c r="E32" s="10" t="n"/>
      <c r="F32" s="10" t="n"/>
    </row>
    <row r="33">
      <c r="A33" s="8" t="inlineStr">
        <is>
          <t>建安综合造价（元/㎡）</t>
        </is>
      </c>
      <c r="B33" s="9" t="n"/>
      <c r="C33" s="6" t="inlineStr">
        <is>
          <t>成本法分项构成口径：建安造价（不含前期/管理/资金/利润）</t>
        </is>
      </c>
      <c r="D33" s="10" t="n"/>
      <c r="E33" s="10" t="n"/>
      <c r="F33" s="10" t="n"/>
    </row>
    <row r="34">
      <c r="A34" s="8" t="inlineStr">
        <is>
          <t>前期及其他费用率</t>
        </is>
      </c>
      <c r="B34" s="9" t="n"/>
      <c r="C34" s="6" t="inlineStr">
        <is>
          <t>成本法分项构成口径，取值与来源</t>
        </is>
      </c>
      <c r="D34" s="10" t="n"/>
      <c r="E34" s="10" t="n"/>
      <c r="F34" s="10" t="n"/>
    </row>
    <row r="35">
      <c r="A35" s="8" t="inlineStr">
        <is>
          <t>资金成本率</t>
        </is>
      </c>
      <c r="B35" s="9" t="n"/>
      <c r="C35" s="6" t="inlineStr">
        <is>
          <t>成本法分项构成口径，取值与来源</t>
        </is>
      </c>
      <c r="D35" s="10" t="n"/>
      <c r="E35" s="10" t="n"/>
      <c r="F35" s="10" t="n"/>
    </row>
    <row r="36">
      <c r="A36" s="8" t="inlineStr">
        <is>
          <t>开发利润率</t>
        </is>
      </c>
      <c r="B36" s="9" t="n"/>
      <c r="C36" s="6" t="inlineStr">
        <is>
          <t>成本法分项构成口径，取值与来源</t>
        </is>
      </c>
      <c r="D36" s="10" t="n"/>
      <c r="E36" s="10" t="n"/>
      <c r="F36" s="10" t="n"/>
    </row>
    <row r="37">
      <c r="A37" s="8" t="inlineStr">
        <is>
          <t>经济耐用年限（年）</t>
        </is>
      </c>
      <c r="B37" s="9" t="n"/>
      <c r="C37" s="6" t="inlineStr">
        <is>
          <t>按结构取（见 references/07 第5节）</t>
        </is>
      </c>
      <c r="D37" s="10" t="n"/>
      <c r="E37" s="10" t="n"/>
      <c r="F37" s="10" t="n"/>
    </row>
    <row r="38">
      <c r="A38" s="8" t="inlineStr">
        <is>
          <t>已使用年限（年）</t>
        </is>
      </c>
      <c r="B38" s="9" t="n"/>
      <c r="C38" s="6" t="inlineStr">
        <is>
          <t>竣工/建成至基准日</t>
        </is>
      </c>
      <c r="D38" s="10" t="n"/>
      <c r="E38" s="10" t="n"/>
      <c r="F38" s="10" t="n"/>
    </row>
    <row r="39">
      <c r="A39" s="8" t="inlineStr">
        <is>
          <t>土地单价（元/㎡）</t>
        </is>
      </c>
      <c r="B39" s="9" t="n"/>
      <c r="C39" s="6" t="inlineStr">
        <is>
          <t>成本逼近法/基准地价系数修正法/市场法</t>
        </is>
      </c>
      <c r="D39" s="10" t="n"/>
      <c r="E39" s="10" t="n"/>
      <c r="F39" s="10" t="n"/>
    </row>
    <row r="40">
      <c r="A40" s="8" t="inlineStr">
        <is>
          <t>土地终止年限</t>
        </is>
      </c>
      <c r="B40" s="9" t="n"/>
      <c r="C40" s="6" t="inlineStr">
        <is>
          <t>权证记载</t>
        </is>
      </c>
      <c r="D40" s="10" t="n"/>
      <c r="E40" s="10" t="n"/>
      <c r="F40" s="10" t="n"/>
    </row>
    <row r="41">
      <c r="A41" s="8" t="inlineStr">
        <is>
          <t>建筑终止年限</t>
        </is>
      </c>
      <c r="B41" s="9" t="n"/>
      <c r="C41" s="6" t="inlineStr">
        <is>
          <t>剩余经济寿命测算</t>
        </is>
      </c>
      <c r="D41" s="10" t="n"/>
      <c r="E41" s="10" t="n"/>
      <c r="F41" s="10" t="n"/>
    </row>
  </sheetData>
  <mergeCells count="6">
    <mergeCell ref="A2:F2"/>
    <mergeCell ref="C5:E5"/>
    <mergeCell ref="A1:F1"/>
    <mergeCell ref="C8:E8"/>
    <mergeCell ref="C7:E7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  <col width="30" customWidth="1" min="5" max="5"/>
    <col width="20" customWidth="1" min="6" max="6"/>
  </cols>
  <sheetData>
    <row r="1">
      <c r="A1" s="1" t="inlineStr">
        <is>
          <t>案例</t>
        </is>
      </c>
    </row>
    <row r="2">
      <c r="A2" s="2" t="inlineStr">
        <is>
          <t>登记字段与可比性留痕见 references/04；剔除的案例保留记录并写明理由。</t>
        </is>
      </c>
    </row>
    <row r="4">
      <c r="A4" s="7" t="inlineStr">
        <is>
          <t>字段</t>
        </is>
      </c>
      <c r="B4" s="7" t="inlineStr">
        <is>
          <t>可比实例A</t>
        </is>
      </c>
      <c r="C4" s="7" t="inlineStr">
        <is>
          <t>可比实例B</t>
        </is>
      </c>
      <c r="D4" s="7" t="inlineStr">
        <is>
          <t>可比实例C</t>
        </is>
      </c>
      <c r="E4" s="7" t="inlineStr">
        <is>
          <t>备注</t>
        </is>
      </c>
      <c r="F4" s="7" t="inlineStr"/>
    </row>
    <row r="5">
      <c r="A5" s="4" t="inlineStr">
        <is>
          <t>一、基本信息</t>
        </is>
      </c>
      <c r="B5" s="11" t="n"/>
      <c r="C5" s="11" t="n"/>
      <c r="D5" s="11" t="n"/>
      <c r="E5" s="11" t="n"/>
      <c r="F5" s="11" t="n"/>
    </row>
    <row r="6">
      <c r="A6" s="8" t="inlineStr">
        <is>
          <t>实例名称 / 房号</t>
        </is>
      </c>
      <c r="B6" s="8" t="n"/>
      <c r="C6" s="8" t="n"/>
      <c r="D6" s="8" t="n"/>
      <c r="E6" s="6" t="n"/>
      <c r="F6" s="10" t="n"/>
    </row>
    <row r="7">
      <c r="A7" s="8" t="inlineStr">
        <is>
          <t>案例来源（类型+取得方式）</t>
        </is>
      </c>
      <c r="B7" s="8" t="n"/>
      <c r="C7" s="8" t="n"/>
      <c r="D7" s="8" t="n"/>
      <c r="E7" s="6" t="n"/>
      <c r="F7" s="10" t="n"/>
    </row>
    <row r="8">
      <c r="A8" s="8" t="inlineStr">
        <is>
          <t>案例链接（URL）</t>
        </is>
      </c>
      <c r="B8" s="8" t="n"/>
      <c r="C8" s="8" t="n"/>
      <c r="D8" s="8" t="n"/>
      <c r="E8" s="6" t="n"/>
      <c r="F8" s="10" t="n"/>
    </row>
    <row r="9">
      <c r="A9" s="8" t="inlineStr">
        <is>
          <t>案例截图 / 证据留档（文件名或留档路径）</t>
        </is>
      </c>
      <c r="B9" s="8" t="n"/>
      <c r="C9" s="8" t="n"/>
      <c r="D9" s="8" t="n"/>
      <c r="E9" s="6" t="n"/>
      <c r="F9" s="10" t="n"/>
    </row>
    <row r="10">
      <c r="A10" s="8" t="inlineStr">
        <is>
          <t>取得日期 / 取得人</t>
        </is>
      </c>
      <c r="B10" s="8" t="n"/>
      <c r="C10" s="8" t="n"/>
      <c r="D10" s="8" t="n"/>
      <c r="E10" s="6" t="n"/>
      <c r="F10" s="10" t="n"/>
    </row>
    <row r="11">
      <c r="A11" s="8" t="inlineStr">
        <is>
          <t>房屋坐落</t>
        </is>
      </c>
      <c r="B11" s="8" t="n"/>
      <c r="C11" s="8" t="n"/>
      <c r="D11" s="8" t="n"/>
      <c r="E11" s="6" t="n"/>
      <c r="F11" s="10" t="n"/>
    </row>
    <row r="12">
      <c r="A12" s="8" t="inlineStr">
        <is>
          <t>房屋用途</t>
        </is>
      </c>
      <c r="B12" s="8" t="n"/>
      <c r="C12" s="8" t="n"/>
      <c r="D12" s="8" t="n"/>
      <c r="E12" s="6" t="n"/>
      <c r="F12" s="10" t="n"/>
    </row>
    <row r="13">
      <c r="A13" s="8" t="inlineStr">
        <is>
          <t>所在楼层 / 总楼层</t>
        </is>
      </c>
      <c r="B13" s="8" t="n"/>
      <c r="C13" s="8" t="n"/>
      <c r="D13" s="8" t="n"/>
      <c r="E13" s="6" t="n"/>
      <c r="F13" s="10" t="n"/>
    </row>
    <row r="14">
      <c r="A14" s="8" t="inlineStr">
        <is>
          <t>结构</t>
        </is>
      </c>
      <c r="B14" s="8" t="n"/>
      <c r="C14" s="8" t="n"/>
      <c r="D14" s="8" t="n"/>
      <c r="E14" s="6" t="n"/>
      <c r="F14" s="10" t="n"/>
    </row>
    <row r="15">
      <c r="A15" s="8" t="inlineStr">
        <is>
          <t>建成年代</t>
        </is>
      </c>
      <c r="B15" s="8" t="n"/>
      <c r="C15" s="8" t="n"/>
      <c r="D15" s="8" t="n"/>
      <c r="E15" s="6" t="n"/>
      <c r="F15" s="10" t="n"/>
    </row>
    <row r="16">
      <c r="A16" s="8" t="inlineStr">
        <is>
          <t>装修状况·公共区域</t>
        </is>
      </c>
      <c r="B16" s="8" t="n"/>
      <c r="C16" s="8" t="n"/>
      <c r="D16" s="8" t="n"/>
      <c r="E16" s="6" t="n"/>
      <c r="F16" s="10" t="n"/>
    </row>
    <row r="17">
      <c r="A17" s="8" t="inlineStr">
        <is>
          <t>装修状况·室内</t>
        </is>
      </c>
      <c r="B17" s="8" t="n"/>
      <c r="C17" s="8" t="n"/>
      <c r="D17" s="8" t="n"/>
      <c r="E17" s="6" t="n"/>
      <c r="F17" s="10" t="n"/>
    </row>
    <row r="18">
      <c r="A18" s="8" t="inlineStr">
        <is>
          <t>配套设施</t>
        </is>
      </c>
      <c r="B18" s="8" t="n"/>
      <c r="C18" s="8" t="n"/>
      <c r="D18" s="8" t="n"/>
      <c r="E18" s="6" t="n"/>
      <c r="F18" s="10" t="n"/>
    </row>
    <row r="19">
      <c r="A19" s="4" t="inlineStr">
        <is>
          <t>二、价格与交易</t>
        </is>
      </c>
      <c r="B19" s="11" t="n"/>
      <c r="C19" s="11" t="n"/>
      <c r="D19" s="11" t="n"/>
      <c r="E19" s="11" t="n"/>
      <c r="F19" s="11" t="n"/>
    </row>
    <row r="20">
      <c r="A20" s="8" t="inlineStr">
        <is>
          <t>交易价格（万元）</t>
        </is>
      </c>
      <c r="B20" s="8" t="n"/>
      <c r="C20" s="8" t="n"/>
      <c r="D20" s="8" t="n"/>
      <c r="E20" s="6" t="n"/>
      <c r="F20" s="10" t="n"/>
    </row>
    <row r="21">
      <c r="A21" s="8" t="inlineStr">
        <is>
          <t>价格内涵（面积口径/含税口径/是否挂牌）</t>
        </is>
      </c>
      <c r="B21" s="8" t="n"/>
      <c r="C21" s="8" t="n"/>
      <c r="D21" s="8" t="n"/>
      <c r="E21" s="6" t="n"/>
      <c r="F21" s="10" t="n"/>
    </row>
    <row r="22">
      <c r="A22" s="8" t="inlineStr">
        <is>
          <t>面积内涵</t>
        </is>
      </c>
      <c r="B22" s="8" t="n"/>
      <c r="C22" s="8" t="n"/>
      <c r="D22" s="8" t="n"/>
      <c r="E22" s="6" t="n"/>
      <c r="F22" s="10" t="n"/>
    </row>
    <row r="23">
      <c r="A23" s="8" t="inlineStr">
        <is>
          <t>建筑面积（㎡）</t>
        </is>
      </c>
      <c r="B23" s="8" t="n"/>
      <c r="C23" s="8" t="n"/>
      <c r="D23" s="8" t="n"/>
      <c r="E23" s="6" t="n"/>
      <c r="F23" s="10" t="n"/>
    </row>
    <row r="24">
      <c r="A24" s="8" t="inlineStr">
        <is>
          <t>交易时间</t>
        </is>
      </c>
      <c r="B24" s="8" t="n"/>
      <c r="C24" s="8" t="n"/>
      <c r="D24" s="8" t="n"/>
      <c r="E24" s="6" t="n"/>
      <c r="F24" s="10" t="n"/>
    </row>
    <row r="25">
      <c r="A25" s="8" t="inlineStr">
        <is>
          <t>交易情况</t>
        </is>
      </c>
      <c r="B25" s="8" t="n"/>
      <c r="C25" s="8" t="n"/>
      <c r="D25" s="8" t="n"/>
      <c r="E25" s="6" t="n"/>
      <c r="F25" s="10" t="n"/>
    </row>
    <row r="26">
      <c r="A26" s="8" t="inlineStr">
        <is>
          <t>税费负担与税收优惠档</t>
        </is>
      </c>
      <c r="B26" s="8" t="n"/>
      <c r="C26" s="8" t="n"/>
      <c r="D26" s="8" t="n"/>
      <c r="E26" s="6" t="n"/>
      <c r="F26" s="10" t="n"/>
    </row>
    <row r="27">
      <c r="A27" s="8" t="inlineStr">
        <is>
          <t>交易单价（元/㎡）</t>
        </is>
      </c>
      <c r="B27" s="8" t="n"/>
      <c r="C27" s="8" t="n"/>
      <c r="D27" s="8" t="n"/>
      <c r="E27" s="6" t="n"/>
      <c r="F27" s="10" t="n"/>
    </row>
    <row r="28">
      <c r="A28" s="4" t="inlineStr">
        <is>
          <t>三、区位状况</t>
        </is>
      </c>
      <c r="B28" s="11" t="n"/>
      <c r="C28" s="11" t="n"/>
      <c r="D28" s="11" t="n"/>
      <c r="E28" s="11" t="n"/>
      <c r="F28" s="11" t="n"/>
    </row>
    <row r="29">
      <c r="A29" s="8" t="inlineStr">
        <is>
          <t>住宅集聚度</t>
        </is>
      </c>
      <c r="B29" s="8" t="n"/>
      <c r="C29" s="8" t="n"/>
      <c r="D29" s="8" t="n"/>
      <c r="E29" s="6" t="n"/>
      <c r="F29" s="10" t="n"/>
    </row>
    <row r="30">
      <c r="A30" s="8" t="inlineStr">
        <is>
          <t>距商业中心距离</t>
        </is>
      </c>
      <c r="B30" s="8" t="n"/>
      <c r="C30" s="8" t="n"/>
      <c r="D30" s="8" t="n"/>
      <c r="E30" s="6" t="n"/>
      <c r="F30" s="10" t="n"/>
    </row>
    <row r="31">
      <c r="A31" s="8" t="inlineStr">
        <is>
          <t>公交便捷程度</t>
        </is>
      </c>
      <c r="B31" s="8" t="n"/>
      <c r="C31" s="8" t="n"/>
      <c r="D31" s="8" t="n"/>
      <c r="E31" s="6" t="n"/>
      <c r="F31" s="10" t="n"/>
    </row>
    <row r="32">
      <c r="A32" s="8" t="inlineStr">
        <is>
          <t>通达性</t>
        </is>
      </c>
      <c r="B32" s="8" t="n"/>
      <c r="C32" s="8" t="n"/>
      <c r="D32" s="8" t="n"/>
      <c r="E32" s="6" t="n"/>
      <c r="F32" s="10" t="n"/>
    </row>
    <row r="33">
      <c r="A33" s="8" t="inlineStr">
        <is>
          <t>接近性</t>
        </is>
      </c>
      <c r="B33" s="8" t="n"/>
      <c r="C33" s="8" t="n"/>
      <c r="D33" s="8" t="n"/>
      <c r="E33" s="6" t="n"/>
      <c r="F33" s="10" t="n"/>
    </row>
    <row r="34">
      <c r="A34" s="8" t="inlineStr">
        <is>
          <t>景观</t>
        </is>
      </c>
      <c r="B34" s="8" t="n"/>
      <c r="C34" s="8" t="n"/>
      <c r="D34" s="8" t="n"/>
      <c r="E34" s="6" t="n"/>
      <c r="F34" s="10" t="n"/>
    </row>
    <row r="35">
      <c r="A35" s="8" t="inlineStr">
        <is>
          <t>周边环境状况</t>
        </is>
      </c>
      <c r="B35" s="8" t="n"/>
      <c r="C35" s="8" t="n"/>
      <c r="D35" s="8" t="n"/>
      <c r="E35" s="6" t="n"/>
      <c r="F35" s="10" t="n"/>
    </row>
    <row r="36">
      <c r="A36" s="8" t="inlineStr">
        <is>
          <t>面积与配套车位数量比</t>
        </is>
      </c>
      <c r="B36" s="8" t="n"/>
      <c r="C36" s="8" t="n"/>
      <c r="D36" s="8" t="n"/>
      <c r="E36" s="6" t="n"/>
      <c r="F36" s="10" t="n"/>
    </row>
    <row r="37">
      <c r="A37" s="8" t="inlineStr">
        <is>
          <t>公共配套设施</t>
        </is>
      </c>
      <c r="B37" s="8" t="n"/>
      <c r="C37" s="8" t="n"/>
      <c r="D37" s="8" t="n"/>
      <c r="E37" s="6" t="n"/>
      <c r="F37" s="10" t="n"/>
    </row>
    <row r="38">
      <c r="A38" s="8" t="inlineStr">
        <is>
          <t>教育配套设施</t>
        </is>
      </c>
      <c r="B38" s="8" t="n"/>
      <c r="C38" s="8" t="n"/>
      <c r="D38" s="8" t="n"/>
      <c r="E38" s="6" t="n"/>
      <c r="F38" s="10" t="n"/>
    </row>
    <row r="39">
      <c r="A39" s="4" t="inlineStr">
        <is>
          <t>四、实物状况</t>
        </is>
      </c>
      <c r="B39" s="11" t="n"/>
      <c r="C39" s="11" t="n"/>
      <c r="D39" s="11" t="n"/>
      <c r="E39" s="11" t="n"/>
      <c r="F39" s="11" t="n"/>
    </row>
    <row r="40">
      <c r="A40" s="8" t="inlineStr">
        <is>
          <t>住宅类型</t>
        </is>
      </c>
      <c r="B40" s="8" t="n"/>
      <c r="C40" s="8" t="n"/>
      <c r="D40" s="8" t="n"/>
      <c r="E40" s="6" t="n"/>
      <c r="F40" s="10" t="n"/>
    </row>
    <row r="41">
      <c r="A41" s="8" t="inlineStr">
        <is>
          <t>小区内具体位置</t>
        </is>
      </c>
      <c r="B41" s="8" t="n"/>
      <c r="C41" s="8" t="n"/>
      <c r="D41" s="8" t="n"/>
      <c r="E41" s="6" t="n"/>
      <c r="F41" s="10" t="n"/>
    </row>
    <row r="42">
      <c r="A42" s="8" t="inlineStr">
        <is>
          <t>外观形象</t>
        </is>
      </c>
      <c r="B42" s="8" t="n"/>
      <c r="C42" s="8" t="n"/>
      <c r="D42" s="8" t="n"/>
      <c r="E42" s="6" t="n"/>
      <c r="F42" s="10" t="n"/>
    </row>
    <row r="43">
      <c r="A43" s="8" t="inlineStr">
        <is>
          <t>装修·公共区域档次</t>
        </is>
      </c>
      <c r="B43" s="8" t="n"/>
      <c r="C43" s="8" t="n"/>
      <c r="D43" s="8" t="n"/>
      <c r="E43" s="6" t="n"/>
      <c r="F43" s="10" t="n"/>
    </row>
    <row r="44">
      <c r="A44" s="8" t="inlineStr">
        <is>
          <t>装修·室内档次</t>
        </is>
      </c>
      <c r="B44" s="8" t="n"/>
      <c r="C44" s="8" t="n"/>
      <c r="D44" s="8" t="n"/>
      <c r="E44" s="6" t="n"/>
      <c r="F44" s="10" t="n"/>
    </row>
    <row r="45">
      <c r="A45" s="8" t="inlineStr">
        <is>
          <t>面积大小</t>
        </is>
      </c>
      <c r="B45" s="8" t="n"/>
      <c r="C45" s="8" t="n"/>
      <c r="D45" s="8" t="n"/>
      <c r="E45" s="6" t="n"/>
      <c r="F45" s="10" t="n"/>
    </row>
    <row r="46">
      <c r="A46" s="8" t="inlineStr">
        <is>
          <t>配套设备设施</t>
        </is>
      </c>
      <c r="B46" s="8" t="n"/>
      <c r="C46" s="8" t="n"/>
      <c r="D46" s="8" t="n"/>
      <c r="E46" s="6" t="n"/>
      <c r="F46" s="10" t="n"/>
    </row>
    <row r="47">
      <c r="A47" s="8" t="inlineStr">
        <is>
          <t>土地红线内基础设施</t>
        </is>
      </c>
      <c r="B47" s="8" t="n"/>
      <c r="C47" s="8" t="n"/>
      <c r="D47" s="8" t="n"/>
      <c r="E47" s="6" t="n"/>
      <c r="F47" s="10" t="n"/>
    </row>
    <row r="48">
      <c r="A48" s="8" t="inlineStr">
        <is>
          <t>物业管理水平</t>
        </is>
      </c>
      <c r="B48" s="8" t="n"/>
      <c r="C48" s="8" t="n"/>
      <c r="D48" s="8" t="n"/>
      <c r="E48" s="6" t="n"/>
      <c r="F48" s="10" t="n"/>
    </row>
    <row r="49">
      <c r="A49" s="8" t="inlineStr">
        <is>
          <t>是否有学区资格</t>
        </is>
      </c>
      <c r="B49" s="8" t="n"/>
      <c r="C49" s="8" t="n"/>
      <c r="D49" s="8" t="n"/>
      <c r="E49" s="6" t="n"/>
      <c r="F49" s="10" t="n"/>
    </row>
    <row r="50">
      <c r="A50" s="8" t="inlineStr">
        <is>
          <t>成新及维护保养状况</t>
        </is>
      </c>
      <c r="B50" s="8" t="n"/>
      <c r="C50" s="8" t="n"/>
      <c r="D50" s="8" t="n"/>
      <c r="E50" s="6" t="n"/>
      <c r="F50" s="10" t="n"/>
    </row>
    <row r="51">
      <c r="A51" s="8" t="inlineStr">
        <is>
          <t>建筑结构</t>
        </is>
      </c>
      <c r="B51" s="8" t="n"/>
      <c r="C51" s="8" t="n"/>
      <c r="D51" s="8" t="n"/>
      <c r="E51" s="6" t="n"/>
      <c r="F51" s="10" t="n"/>
    </row>
    <row r="52">
      <c r="A52" s="4" t="inlineStr">
        <is>
          <t>五、权益状况</t>
        </is>
      </c>
      <c r="B52" s="11" t="n"/>
      <c r="C52" s="11" t="n"/>
      <c r="D52" s="11" t="n"/>
      <c r="E52" s="11" t="n"/>
      <c r="F52" s="11" t="n"/>
    </row>
    <row r="53">
      <c r="A53" s="8" t="inlineStr">
        <is>
          <t>租赁权</t>
        </is>
      </c>
      <c r="B53" s="8" t="n"/>
      <c r="C53" s="8" t="n"/>
      <c r="D53" s="8" t="n"/>
      <c r="E53" s="6" t="n"/>
      <c r="F53" s="10" t="n"/>
    </row>
    <row r="54">
      <c r="A54" s="8" t="inlineStr">
        <is>
          <t>抵押权</t>
        </is>
      </c>
      <c r="B54" s="8" t="n"/>
      <c r="C54" s="8" t="n"/>
      <c r="D54" s="8" t="n"/>
      <c r="E54" s="6" t="n"/>
      <c r="F54" s="10" t="n"/>
    </row>
    <row r="55">
      <c r="A55" s="8" t="inlineStr">
        <is>
          <t>土地剩余经济年限</t>
        </is>
      </c>
      <c r="B55" s="8" t="n"/>
      <c r="C55" s="8" t="n"/>
      <c r="D55" s="8" t="n"/>
      <c r="E55" s="6" t="n"/>
      <c r="F55" s="10" t="n"/>
    </row>
    <row r="56">
      <c r="A56" s="8" t="inlineStr">
        <is>
          <t>其他权利限制</t>
        </is>
      </c>
      <c r="B56" s="8" t="n"/>
      <c r="C56" s="8" t="n"/>
      <c r="D56" s="8" t="n"/>
      <c r="E56" s="6" t="n"/>
      <c r="F56" s="10" t="n"/>
    </row>
    <row r="57">
      <c r="A57" s="4" t="inlineStr">
        <is>
          <t>六、判断与留痕</t>
        </is>
      </c>
      <c r="B57" s="11" t="n"/>
      <c r="C57" s="11" t="n"/>
      <c r="D57" s="11" t="n"/>
      <c r="E57" s="11" t="n"/>
      <c r="F57" s="11" t="n"/>
    </row>
    <row r="58">
      <c r="A58" s="8" t="inlineStr">
        <is>
          <t>可比性判断（相似/部分相似/不相似）</t>
        </is>
      </c>
      <c r="B58" s="8" t="n"/>
      <c r="C58" s="8" t="n"/>
      <c r="D58" s="8" t="n"/>
      <c r="E58" s="6" t="n"/>
      <c r="F58" s="10" t="n"/>
    </row>
    <row r="59">
      <c r="A59" s="8" t="inlineStr">
        <is>
          <t>保留 / 剔除</t>
        </is>
      </c>
      <c r="B59" s="8" t="n"/>
      <c r="C59" s="8" t="n"/>
      <c r="D59" s="8" t="n"/>
      <c r="E59" s="6" t="n"/>
      <c r="F59" s="10" t="n"/>
    </row>
    <row r="60">
      <c r="A60" s="8" t="inlineStr">
        <is>
          <t>保留或剔除理由</t>
        </is>
      </c>
      <c r="B60" s="8" t="n"/>
      <c r="C60" s="8" t="n"/>
      <c r="D60" s="8" t="n"/>
      <c r="E60" s="6" t="n"/>
      <c r="F60" s="10" t="n"/>
    </row>
    <row r="61">
      <c r="A61" s="8" t="inlineStr">
        <is>
          <t>待确认事项</t>
        </is>
      </c>
      <c r="B61" s="8" t="n"/>
      <c r="C61" s="8" t="n"/>
      <c r="D61" s="8" t="n"/>
      <c r="E61" s="6" t="n"/>
      <c r="F61" s="10" t="n"/>
    </row>
    <row r="63">
      <c r="A63" s="3" t="inlineStr">
        <is>
          <t>案例数量与可比性汇总</t>
        </is>
      </c>
      <c r="B63" s="9" t="inlineStr">
        <is>
          <t>候选数</t>
        </is>
      </c>
      <c r="C63" s="9" t="inlineStr">
        <is>
          <t>保留数</t>
        </is>
      </c>
      <c r="D63" s="9" t="inlineStr">
        <is>
          <t>剔除数</t>
        </is>
      </c>
      <c r="E63" s="12">
        <f>IF(保留数&gt;=3,"满足","不足3个，须写明处置")</f>
        <v/>
      </c>
      <c r="F63" s="6" t="inlineStr">
        <is>
          <t>见 references/04 第5节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</cols>
  <sheetData>
    <row r="1">
      <c r="A1" s="1" t="inlineStr">
        <is>
          <t>价值内涵与税费</t>
        </is>
      </c>
    </row>
    <row r="2">
      <c r="A2" s="2" t="inlineStr">
        <is>
          <t>先把三个案例统一到同一价值内涵，再做税费正常负担还原；口径见 references/01 第4节、references/05。</t>
        </is>
      </c>
    </row>
    <row r="4">
      <c r="A4" s="3" t="inlineStr">
        <is>
          <t>一、案例概况与统一价值内涵</t>
        </is>
      </c>
    </row>
    <row r="5">
      <c r="A5" s="7" t="inlineStr">
        <is>
          <t>项目</t>
        </is>
      </c>
      <c r="B5" s="7" t="inlineStr">
        <is>
          <t>评估对象</t>
        </is>
      </c>
      <c r="C5" s="7" t="inlineStr">
        <is>
          <t>可比实例A</t>
        </is>
      </c>
      <c r="D5" s="7" t="inlineStr">
        <is>
          <t>可比实例B</t>
        </is>
      </c>
      <c r="E5" s="7" t="inlineStr">
        <is>
          <t>可比实例C</t>
        </is>
      </c>
      <c r="F5" s="7" t="inlineStr">
        <is>
          <t>备注</t>
        </is>
      </c>
    </row>
    <row r="6">
      <c r="A6" s="4" t="inlineStr">
        <is>
          <t>实例名称</t>
        </is>
      </c>
      <c r="B6" s="8" t="n"/>
      <c r="C6" s="8" t="n"/>
      <c r="D6" s="8" t="n"/>
      <c r="E6" s="8" t="n"/>
      <c r="F6" s="6" t="n"/>
    </row>
    <row r="7">
      <c r="A7" s="4" t="inlineStr">
        <is>
          <t>案例来源</t>
        </is>
      </c>
      <c r="B7" s="8" t="n"/>
      <c r="C7" s="8" t="n"/>
      <c r="D7" s="8" t="n"/>
      <c r="E7" s="8" t="n"/>
      <c r="F7" s="6" t="n"/>
    </row>
    <row r="8">
      <c r="A8" s="4" t="inlineStr">
        <is>
          <t>交易价格（万元）</t>
        </is>
      </c>
      <c r="B8" s="8" t="n"/>
      <c r="C8" s="8" t="n"/>
      <c r="D8" s="8" t="n"/>
      <c r="E8" s="8" t="n"/>
      <c r="F8" s="6" t="n"/>
    </row>
    <row r="9">
      <c r="A9" s="4" t="inlineStr">
        <is>
          <t>价格内涵</t>
        </is>
      </c>
      <c r="B9" s="8" t="n"/>
      <c r="C9" s="8" t="n"/>
      <c r="D9" s="8" t="n"/>
      <c r="E9" s="8" t="n"/>
      <c r="F9" s="6" t="n"/>
    </row>
    <row r="10">
      <c r="A10" s="4" t="inlineStr">
        <is>
          <t>面积内涵</t>
        </is>
      </c>
      <c r="B10" s="8" t="n"/>
      <c r="C10" s="8" t="n"/>
      <c r="D10" s="8" t="n"/>
      <c r="E10" s="8" t="n"/>
      <c r="F10" s="6" t="n"/>
    </row>
    <row r="11">
      <c r="A11" s="4" t="inlineStr">
        <is>
          <t>建筑面积（㎡）</t>
        </is>
      </c>
      <c r="B11" s="8" t="n"/>
      <c r="C11" s="8" t="n"/>
      <c r="D11" s="8" t="n"/>
      <c r="E11" s="8" t="n"/>
      <c r="F11" s="6" t="n"/>
    </row>
    <row r="12">
      <c r="A12" s="4" t="inlineStr">
        <is>
          <t>交易日期</t>
        </is>
      </c>
      <c r="B12" s="8" t="n"/>
      <c r="C12" s="8" t="n"/>
      <c r="D12" s="8" t="n"/>
      <c r="E12" s="8" t="n"/>
      <c r="F12" s="6" t="n"/>
    </row>
    <row r="13">
      <c r="A13" s="4" t="inlineStr">
        <is>
          <t>交易情况</t>
        </is>
      </c>
      <c r="B13" s="8" t="n"/>
      <c r="C13" s="8" t="n"/>
      <c r="D13" s="8" t="n"/>
      <c r="E13" s="8" t="n"/>
      <c r="F13" s="6" t="n"/>
    </row>
    <row r="14">
      <c r="A14" s="4" t="inlineStr">
        <is>
          <t>房屋坐落</t>
        </is>
      </c>
      <c r="B14" s="8" t="n"/>
      <c r="C14" s="8" t="n"/>
      <c r="D14" s="8" t="n"/>
      <c r="E14" s="8" t="n"/>
      <c r="F14" s="6" t="n"/>
    </row>
    <row r="15">
      <c r="A15" s="4" t="inlineStr">
        <is>
          <t>房屋用途</t>
        </is>
      </c>
      <c r="B15" s="8" t="n"/>
      <c r="C15" s="8" t="n"/>
      <c r="D15" s="8" t="n"/>
      <c r="E15" s="8" t="n"/>
      <c r="F15" s="6" t="n"/>
    </row>
    <row r="16">
      <c r="A16" s="4" t="inlineStr">
        <is>
          <t>所在楼层/总楼层</t>
        </is>
      </c>
      <c r="B16" s="8" t="n"/>
      <c r="C16" s="8" t="n"/>
      <c r="D16" s="8" t="n"/>
      <c r="E16" s="8" t="n"/>
      <c r="F16" s="6" t="n"/>
    </row>
    <row r="17">
      <c r="A17" s="4" t="inlineStr">
        <is>
          <t>建成年代</t>
        </is>
      </c>
      <c r="B17" s="8" t="n"/>
      <c r="C17" s="8" t="n"/>
      <c r="D17" s="8" t="n"/>
      <c r="E17" s="8" t="n"/>
      <c r="F17" s="6" t="n"/>
    </row>
    <row r="18">
      <c r="A18" s="4" t="inlineStr">
        <is>
          <t>装修状况（公共/室内）</t>
        </is>
      </c>
      <c r="B18" s="8" t="n"/>
      <c r="C18" s="8" t="n"/>
      <c r="D18" s="8" t="n"/>
      <c r="E18" s="8" t="n"/>
      <c r="F18" s="6" t="n"/>
    </row>
    <row r="19">
      <c r="A19" s="4" t="inlineStr">
        <is>
          <t>统一财产范围</t>
        </is>
      </c>
      <c r="B19" s="6" t="inlineStr">
        <is>
          <t>设定为“纯粹”“干净”房地产</t>
        </is>
      </c>
      <c r="C19" s="9" t="inlineStr">
        <is>
          <t>1</t>
        </is>
      </c>
      <c r="D19" s="9" t="inlineStr">
        <is>
          <t>1</t>
        </is>
      </c>
      <c r="E19" s="9" t="inlineStr">
        <is>
          <t>1</t>
        </is>
      </c>
      <c r="F19" s="6" t="inlineStr">
        <is>
          <t>修正系数：1=无需修正</t>
        </is>
      </c>
    </row>
    <row r="20">
      <c r="A20" s="4" t="inlineStr">
        <is>
          <t>统一付款方式</t>
        </is>
      </c>
      <c r="B20" s="6" t="inlineStr">
        <is>
          <t>成交日一次性付清</t>
        </is>
      </c>
      <c r="C20" s="9" t="inlineStr">
        <is>
          <t>1</t>
        </is>
      </c>
      <c r="D20" s="9" t="inlineStr">
        <is>
          <t>1</t>
        </is>
      </c>
      <c r="E20" s="9" t="inlineStr">
        <is>
          <t>1</t>
        </is>
      </c>
      <c r="F20" s="6" t="inlineStr">
        <is>
          <t>修正系数：1=无需修正</t>
        </is>
      </c>
    </row>
    <row r="21">
      <c r="A21" s="4" t="inlineStr">
        <is>
          <t>统一融资条件</t>
        </is>
      </c>
      <c r="B21" s="6" t="inlineStr">
        <is>
          <t>常规融资条件</t>
        </is>
      </c>
      <c r="C21" s="9" t="inlineStr">
        <is>
          <t>1</t>
        </is>
      </c>
      <c r="D21" s="9" t="inlineStr">
        <is>
          <t>1</t>
        </is>
      </c>
      <c r="E21" s="9" t="inlineStr">
        <is>
          <t>1</t>
        </is>
      </c>
      <c r="F21" s="6" t="inlineStr">
        <is>
          <t>修正系数：1=无需修正</t>
        </is>
      </c>
    </row>
    <row r="22">
      <c r="A22" s="4" t="inlineStr">
        <is>
          <t>统一税费负担</t>
        </is>
      </c>
      <c r="B22" s="6" t="inlineStr">
        <is>
          <t>交易双方各自负担法定税费</t>
        </is>
      </c>
      <c r="C22" s="9" t="inlineStr">
        <is>
          <t>1</t>
        </is>
      </c>
      <c r="D22" s="9" t="inlineStr">
        <is>
          <t>1</t>
        </is>
      </c>
      <c r="E22" s="9" t="inlineStr">
        <is>
          <t>1</t>
        </is>
      </c>
      <c r="F22" s="6" t="inlineStr">
        <is>
          <t>修正系数：1=无需修正</t>
        </is>
      </c>
    </row>
    <row r="23">
      <c r="A23" s="4" t="inlineStr">
        <is>
          <t>统一计价单位</t>
        </is>
      </c>
      <c r="B23" s="6" t="inlineStr">
        <is>
          <t>人民币元/建筑平方米</t>
        </is>
      </c>
      <c r="C23" s="9" t="inlineStr">
        <is>
          <t>1</t>
        </is>
      </c>
      <c r="D23" s="9" t="inlineStr">
        <is>
          <t>1</t>
        </is>
      </c>
      <c r="E23" s="9" t="inlineStr">
        <is>
          <t>1</t>
        </is>
      </c>
      <c r="F23" s="6" t="inlineStr">
        <is>
          <t>修正系数：1=无需修正</t>
        </is>
      </c>
    </row>
    <row r="24">
      <c r="A24" s="4" t="inlineStr">
        <is>
          <t>含税与否</t>
        </is>
      </c>
      <c r="B24" s="6" t="inlineStr">
        <is>
          <t>与评估对象同一口径</t>
        </is>
      </c>
      <c r="C24" s="9" t="inlineStr">
        <is>
          <t>1</t>
        </is>
      </c>
      <c r="D24" s="9" t="inlineStr">
        <is>
          <t>1</t>
        </is>
      </c>
      <c r="E24" s="9" t="inlineStr">
        <is>
          <t>1</t>
        </is>
      </c>
      <c r="F24" s="6" t="inlineStr">
        <is>
          <t>修正系数：1=无需修正</t>
        </is>
      </c>
    </row>
    <row r="26">
      <c r="A26" s="3" t="inlineStr">
        <is>
          <t>二、税费正常负担还原（逐案例；免征必须写明免征依据）</t>
        </is>
      </c>
    </row>
    <row r="27">
      <c r="A27" s="7" t="inlineStr">
        <is>
          <t>项目</t>
        </is>
      </c>
      <c r="B27" s="7" t="inlineStr">
        <is>
          <t>评估对象</t>
        </is>
      </c>
      <c r="C27" s="7" t="inlineStr">
        <is>
          <t>可比实例A</t>
        </is>
      </c>
      <c r="D27" s="7" t="inlineStr">
        <is>
          <t>可比实例B</t>
        </is>
      </c>
      <c r="E27" s="7" t="inlineStr">
        <is>
          <t>可比实例C</t>
        </is>
      </c>
      <c r="F27" s="7" t="inlineStr">
        <is>
          <t>备注</t>
        </is>
      </c>
    </row>
    <row r="28">
      <c r="A28" s="4" t="inlineStr">
        <is>
          <t>不含税卖方净得价（元）</t>
        </is>
      </c>
      <c r="B28" s="13" t="n"/>
      <c r="C28" s="13" t="n"/>
      <c r="D28" s="13" t="n"/>
      <c r="E28" s="13" t="n"/>
      <c r="F28" s="6">
        <f>交易价格*10000</f>
        <v/>
      </c>
    </row>
    <row r="29">
      <c r="A29" s="4" t="inlineStr">
        <is>
          <t>增值税</t>
        </is>
      </c>
      <c r="B29" s="13" t="n"/>
      <c r="C29" s="13" t="n"/>
      <c r="D29" s="13" t="n"/>
      <c r="E29" s="13" t="n"/>
      <c r="F29" s="6" t="inlineStr">
        <is>
          <t>免征税种填“免征”并写明依据</t>
        </is>
      </c>
    </row>
    <row r="30">
      <c r="A30" s="4" t="inlineStr">
        <is>
          <t>土地增值税</t>
        </is>
      </c>
      <c r="B30" s="13" t="n"/>
      <c r="C30" s="13" t="n"/>
      <c r="D30" s="13" t="n"/>
      <c r="E30" s="13" t="n"/>
      <c r="F30" s="6">
        <f>不含税卖方净得价*核定征收率（或写免征依据）</f>
        <v/>
      </c>
    </row>
    <row r="31">
      <c r="A31" s="4" t="inlineStr">
        <is>
          <t>附加税</t>
        </is>
      </c>
      <c r="B31" s="13" t="n"/>
      <c r="C31" s="13" t="n"/>
      <c r="D31" s="13" t="n"/>
      <c r="E31" s="13" t="n"/>
      <c r="F31" s="6">
        <f>增值税*(城建税率+教育费附加+地方教育附加)；增值税免征则免征</f>
        <v/>
      </c>
    </row>
    <row r="32">
      <c r="A32" s="4" t="inlineStr">
        <is>
          <t>个税或所得税</t>
        </is>
      </c>
      <c r="B32" s="13" t="n"/>
      <c r="C32" s="13" t="n"/>
      <c r="D32" s="13" t="n"/>
      <c r="E32" s="13" t="n"/>
      <c r="F32" s="6">
        <f>不含税卖方净得价*核定征收率；免征写依据</f>
        <v/>
      </c>
    </row>
    <row r="33">
      <c r="A33" s="4" t="inlineStr">
        <is>
          <t>卖方应负担税费合计（元）</t>
        </is>
      </c>
      <c r="B33" s="13">
        <f>SUM(B29:B32)</f>
        <v/>
      </c>
      <c r="C33" s="13">
        <f>SUM(C29:C32)</f>
        <v/>
      </c>
      <c r="D33" s="13">
        <f>SUM(D29:D32)</f>
        <v/>
      </c>
      <c r="E33" s="13">
        <f>SUM(E29:E32)</f>
        <v/>
      </c>
      <c r="F33" s="6">
        <f>SUM(增值税:个税或所得税)</f>
        <v/>
      </c>
    </row>
    <row r="34">
      <c r="A34" s="4" t="inlineStr">
        <is>
          <t>买方应负担税费合计（元）</t>
        </is>
      </c>
      <c r="B34" s="13">
        <f>B35</f>
        <v/>
      </c>
      <c r="C34" s="13">
        <f>C35</f>
        <v/>
      </c>
      <c r="D34" s="13">
        <f>D35</f>
        <v/>
      </c>
      <c r="E34" s="13">
        <f>E35</f>
        <v/>
      </c>
      <c r="F34" s="6">
        <f>含税价*契税率（按当地档）</f>
        <v/>
      </c>
    </row>
    <row r="35">
      <c r="A35" s="4" t="inlineStr">
        <is>
          <t>税费正常负担下的含税价（元）</t>
        </is>
      </c>
      <c r="B35" s="13">
        <f>B28+B33+B34</f>
        <v/>
      </c>
      <c r="C35" s="13">
        <f>C28+C33+C34</f>
        <v/>
      </c>
      <c r="D35" s="13">
        <f>D28+D33+D34</f>
        <v/>
      </c>
      <c r="E35" s="13">
        <f>E28+E33+E34</f>
        <v/>
      </c>
      <c r="F35" s="6">
        <f>不含税卖方净得价+卖方合计+买方合计</f>
        <v/>
      </c>
    </row>
    <row r="36">
      <c r="A36" s="4" t="inlineStr">
        <is>
          <t>含税单价（元/㎡）</t>
        </is>
      </c>
      <c r="B36" s="13">
        <f>ROUND(B35/$B$33,-1)</f>
        <v/>
      </c>
      <c r="C36" s="13">
        <f>ROUND(C35/$B$33,-1)</f>
        <v/>
      </c>
      <c r="D36" s="13">
        <f>ROUND(D35/$B$33,-1)</f>
        <v/>
      </c>
      <c r="E36" s="13">
        <f>ROUND(E35/$B$33,-1)</f>
        <v/>
      </c>
      <c r="F36" s="6">
        <f>ROUND(含税价/建筑面积,-1)</f>
        <v/>
      </c>
    </row>
    <row r="37">
      <c r="A37" s="4" t="inlineStr">
        <is>
          <t>税费正常负担下的不含税价（元）</t>
        </is>
      </c>
      <c r="B37" s="13">
        <f>B36-B29</f>
        <v/>
      </c>
      <c r="C37" s="13">
        <f>C36-C29</f>
        <v/>
      </c>
      <c r="D37" s="13">
        <f>D36-D29</f>
        <v/>
      </c>
      <c r="E37" s="13">
        <f>E36-E29</f>
        <v/>
      </c>
      <c r="F37" s="6">
        <f>含税价-增值税</f>
        <v/>
      </c>
    </row>
    <row r="38">
      <c r="A38" s="4" t="inlineStr">
        <is>
          <t>不含税单价（元/㎡）</t>
        </is>
      </c>
      <c r="B38" s="13">
        <f>ROUND(B37/$B$33,-1)</f>
        <v/>
      </c>
      <c r="C38" s="13">
        <f>ROUND(C37/$B$33,-1)</f>
        <v/>
      </c>
      <c r="D38" s="13">
        <f>ROUND(D37/$B$33,-1)</f>
        <v/>
      </c>
      <c r="E38" s="13">
        <f>ROUND(E37/$B$33,-1)</f>
        <v/>
      </c>
      <c r="F38" s="6">
        <f>ROUND(不含税价/建筑面积,-1)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28" customWidth="1" min="8" max="8"/>
    <col width="20" customWidth="1" min="9" max="9"/>
    <col width="20" customWidth="1" min="10" max="10"/>
    <col width="20" customWidth="1" min="11" max="11"/>
    <col width="20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市场法</t>
        </is>
      </c>
    </row>
    <row r="2">
      <c r="A2" s="2" t="inlineStr">
        <is>
          <t>左：比较因素条件说明（文字+档次）；中：条件指数（评估对象=100）；右：修正系数（100/案例指数）。幅度见 references/02 第6-8节。</t>
        </is>
      </c>
    </row>
    <row r="4">
      <c r="A4" s="3" t="inlineStr">
        <is>
          <t>一、比较因素条件说明表</t>
        </is>
      </c>
      <c r="I4" s="3" t="inlineStr">
        <is>
          <t>二、比较因素条件指数表</t>
        </is>
      </c>
      <c r="N4" s="3" t="inlineStr">
        <is>
          <t>三、比较因素修正系数表</t>
        </is>
      </c>
    </row>
    <row r="5">
      <c r="A5" s="7" t="inlineStr">
        <is>
          <t>项目</t>
        </is>
      </c>
      <c r="B5" s="7" t="inlineStr">
        <is>
          <t>评估对象</t>
        </is>
      </c>
      <c r="C5" s="7" t="inlineStr">
        <is>
          <t>可比实例A</t>
        </is>
      </c>
      <c r="D5" s="7" t="inlineStr">
        <is>
          <t>可比实例B</t>
        </is>
      </c>
      <c r="E5" s="7" t="inlineStr">
        <is>
          <t>可比实例C</t>
        </is>
      </c>
      <c r="F5" s="7" t="inlineStr">
        <is>
          <t>备注</t>
        </is>
      </c>
      <c r="H5" s="7" t="inlineStr">
        <is>
          <t>项目</t>
        </is>
      </c>
      <c r="I5" s="7" t="inlineStr">
        <is>
          <t>评估对象</t>
        </is>
      </c>
      <c r="J5" s="7" t="inlineStr">
        <is>
          <t>可比实例A</t>
        </is>
      </c>
      <c r="K5" s="7" t="inlineStr">
        <is>
          <t>可比实例B</t>
        </is>
      </c>
      <c r="L5" s="7" t="inlineStr">
        <is>
          <t>可比实例C</t>
        </is>
      </c>
      <c r="M5" s="7" t="inlineStr">
        <is>
          <t>项目</t>
        </is>
      </c>
      <c r="N5" s="7" t="inlineStr">
        <is>
          <t>待估/例A</t>
        </is>
      </c>
      <c r="O5" s="7" t="inlineStr">
        <is>
          <t>待估/例B</t>
        </is>
      </c>
      <c r="P5" s="7" t="inlineStr">
        <is>
          <t>待估/例C</t>
        </is>
      </c>
      <c r="Q5" s="7" t="inlineStr">
        <is>
          <t>备注</t>
        </is>
      </c>
    </row>
    <row r="6">
      <c r="A6" s="4" t="inlineStr">
        <is>
          <t>交易单价（元/㎡）</t>
        </is>
      </c>
      <c r="B6" s="8" t="n"/>
      <c r="C6" s="8" t="n"/>
      <c r="D6" s="8" t="n"/>
      <c r="E6" s="8" t="n"/>
      <c r="F6" s="6" t="n"/>
      <c r="H6" s="4" t="inlineStr">
        <is>
          <t>交易单价（元/㎡）</t>
        </is>
      </c>
      <c r="I6" s="14" t="n"/>
      <c r="J6" s="14">
        <f>C6</f>
        <v/>
      </c>
      <c r="K6" s="14">
        <f>D6</f>
        <v/>
      </c>
      <c r="L6" s="14">
        <f>E6</f>
        <v/>
      </c>
      <c r="M6" s="4" t="inlineStr">
        <is>
          <t>交易单价（元/㎡）</t>
        </is>
      </c>
      <c r="N6" s="15">
        <f>CONCATENATE(100,"/",D6)</f>
        <v/>
      </c>
      <c r="O6" s="15">
        <f>CONCATENATE(100,"/",E6)</f>
        <v/>
      </c>
      <c r="P6" s="15">
        <f>CONCATENATE(100,"/",F6)</f>
        <v/>
      </c>
      <c r="Q6" s="6" t="n"/>
    </row>
    <row r="7">
      <c r="A7" s="4" t="inlineStr">
        <is>
          <t>交易情况</t>
        </is>
      </c>
      <c r="B7" s="8" t="n"/>
      <c r="C7" s="8" t="n"/>
      <c r="D7" s="8" t="n"/>
      <c r="E7" s="8" t="n"/>
      <c r="F7" s="6" t="n"/>
      <c r="H7" s="4" t="inlineStr">
        <is>
          <t>交易情况</t>
        </is>
      </c>
      <c r="I7" s="9" t="n">
        <v>100</v>
      </c>
      <c r="J7" s="9" t="n">
        <v>100</v>
      </c>
      <c r="K7" s="9" t="n">
        <v>100</v>
      </c>
      <c r="L7" s="9" t="n">
        <v>100</v>
      </c>
      <c r="M7" s="4" t="inlineStr">
        <is>
          <t>交易情况</t>
        </is>
      </c>
      <c r="N7" s="15">
        <f>CONCATENATE(100,"/",D7)</f>
        <v/>
      </c>
      <c r="O7" s="15">
        <f>CONCATENATE(100,"/",E7)</f>
        <v/>
      </c>
      <c r="P7" s="15">
        <f>CONCATENATE(100,"/",F7)</f>
        <v/>
      </c>
      <c r="Q7" s="6" t="n"/>
    </row>
    <row r="8">
      <c r="A8" s="4" t="inlineStr">
        <is>
          <t>交易时间</t>
        </is>
      </c>
      <c r="B8" s="8" t="n"/>
      <c r="C8" s="8" t="n"/>
      <c r="D8" s="8" t="n"/>
      <c r="E8" s="8" t="n"/>
      <c r="F8" s="6" t="n"/>
      <c r="H8" s="4" t="inlineStr">
        <is>
          <t>交易时间</t>
        </is>
      </c>
      <c r="I8" s="9" t="n">
        <v>100</v>
      </c>
      <c r="J8" s="9" t="n">
        <v>100</v>
      </c>
      <c r="K8" s="9" t="n">
        <v>100</v>
      </c>
      <c r="L8" s="9" t="n">
        <v>100</v>
      </c>
      <c r="M8" s="4" t="inlineStr">
        <is>
          <t>交易时间</t>
        </is>
      </c>
      <c r="N8" s="15">
        <f>CONCATENATE(100,"/",D8)</f>
        <v/>
      </c>
      <c r="O8" s="15">
        <f>CONCATENATE(100,"/",E8)</f>
        <v/>
      </c>
      <c r="P8" s="15">
        <f>CONCATENATE(100,"/",F8)</f>
        <v/>
      </c>
      <c r="Q8" s="6" t="n"/>
    </row>
    <row r="9">
      <c r="A9" s="4" t="inlineStr">
        <is>
          <t>区位状况·住宅集聚度</t>
        </is>
      </c>
      <c r="B9" s="8" t="n"/>
      <c r="C9" s="8" t="n"/>
      <c r="D9" s="8" t="n"/>
      <c r="E9" s="8" t="n"/>
      <c r="F9" s="6" t="n"/>
      <c r="H9" s="4" t="inlineStr">
        <is>
          <t>区位状况·住宅集聚度</t>
        </is>
      </c>
      <c r="I9" s="9" t="n">
        <v>100</v>
      </c>
      <c r="J9" s="9" t="n">
        <v>100</v>
      </c>
      <c r="K9" s="9" t="n">
        <v>100</v>
      </c>
      <c r="L9" s="9" t="n">
        <v>100</v>
      </c>
      <c r="M9" s="4" t="inlineStr">
        <is>
          <t>区位状况·住宅集聚度</t>
        </is>
      </c>
      <c r="N9" s="15">
        <f>CONCATENATE(100,"/",D9)</f>
        <v/>
      </c>
      <c r="O9" s="15">
        <f>CONCATENATE(100,"/",E9)</f>
        <v/>
      </c>
      <c r="P9" s="15">
        <f>CONCATENATE(100,"/",F9)</f>
        <v/>
      </c>
      <c r="Q9" s="6" t="n"/>
    </row>
    <row r="10">
      <c r="A10" s="4" t="inlineStr">
        <is>
          <t>区位状况·距商业中心距离</t>
        </is>
      </c>
      <c r="B10" s="8" t="n"/>
      <c r="C10" s="8" t="n"/>
      <c r="D10" s="8" t="n"/>
      <c r="E10" s="8" t="n"/>
      <c r="F10" s="6" t="n"/>
      <c r="H10" s="4" t="inlineStr">
        <is>
          <t>区位状况·距商业中心距离</t>
        </is>
      </c>
      <c r="I10" s="9" t="n">
        <v>100</v>
      </c>
      <c r="J10" s="9" t="n">
        <v>100</v>
      </c>
      <c r="K10" s="9" t="n">
        <v>100</v>
      </c>
      <c r="L10" s="9" t="n">
        <v>100</v>
      </c>
      <c r="M10" s="4" t="inlineStr">
        <is>
          <t>区位状况·距商业中心距离</t>
        </is>
      </c>
      <c r="N10" s="15">
        <f>CONCATENATE(100,"/",D10)</f>
        <v/>
      </c>
      <c r="O10" s="15">
        <f>CONCATENATE(100,"/",E10)</f>
        <v/>
      </c>
      <c r="P10" s="15">
        <f>CONCATENATE(100,"/",F10)</f>
        <v/>
      </c>
      <c r="Q10" s="6" t="n"/>
    </row>
    <row r="11">
      <c r="A11" s="4" t="inlineStr">
        <is>
          <t>区位状况·公交便捷程度</t>
        </is>
      </c>
      <c r="B11" s="8" t="n"/>
      <c r="C11" s="8" t="n"/>
      <c r="D11" s="8" t="n"/>
      <c r="E11" s="8" t="n"/>
      <c r="F11" s="6" t="n"/>
      <c r="H11" s="4" t="inlineStr">
        <is>
          <t>区位状况·公交便捷程度</t>
        </is>
      </c>
      <c r="I11" s="9" t="n">
        <v>100</v>
      </c>
      <c r="J11" s="9" t="n">
        <v>100</v>
      </c>
      <c r="K11" s="9" t="n">
        <v>100</v>
      </c>
      <c r="L11" s="9" t="n">
        <v>100</v>
      </c>
      <c r="M11" s="4" t="inlineStr">
        <is>
          <t>区位状况·公交便捷程度</t>
        </is>
      </c>
      <c r="N11" s="15">
        <f>CONCATENATE(100,"/",D11)</f>
        <v/>
      </c>
      <c r="O11" s="15">
        <f>CONCATENATE(100,"/",E11)</f>
        <v/>
      </c>
      <c r="P11" s="15">
        <f>CONCATENATE(100,"/",F11)</f>
        <v/>
      </c>
      <c r="Q11" s="6" t="n"/>
    </row>
    <row r="12">
      <c r="A12" s="4" t="inlineStr">
        <is>
          <t>区位状况·通达性</t>
        </is>
      </c>
      <c r="B12" s="8" t="n"/>
      <c r="C12" s="8" t="n"/>
      <c r="D12" s="8" t="n"/>
      <c r="E12" s="8" t="n"/>
      <c r="F12" s="6" t="n"/>
      <c r="H12" s="4" t="inlineStr">
        <is>
          <t>区位状况·通达性</t>
        </is>
      </c>
      <c r="I12" s="9" t="n">
        <v>100</v>
      </c>
      <c r="J12" s="9" t="n">
        <v>100</v>
      </c>
      <c r="K12" s="9" t="n">
        <v>100</v>
      </c>
      <c r="L12" s="9" t="n">
        <v>100</v>
      </c>
      <c r="M12" s="4" t="inlineStr">
        <is>
          <t>区位状况·通达性</t>
        </is>
      </c>
      <c r="N12" s="15">
        <f>CONCATENATE(100,"/",D12)</f>
        <v/>
      </c>
      <c r="O12" s="15">
        <f>CONCATENATE(100,"/",E12)</f>
        <v/>
      </c>
      <c r="P12" s="15">
        <f>CONCATENATE(100,"/",F12)</f>
        <v/>
      </c>
      <c r="Q12" s="6" t="n"/>
    </row>
    <row r="13">
      <c r="A13" s="4" t="inlineStr">
        <is>
          <t>区位状况·接近性</t>
        </is>
      </c>
      <c r="B13" s="8" t="n"/>
      <c r="C13" s="8" t="n"/>
      <c r="D13" s="8" t="n"/>
      <c r="E13" s="8" t="n"/>
      <c r="F13" s="6" t="n"/>
      <c r="H13" s="4" t="inlineStr">
        <is>
          <t>区位状况·接近性</t>
        </is>
      </c>
      <c r="I13" s="9" t="n">
        <v>100</v>
      </c>
      <c r="J13" s="9" t="n">
        <v>100</v>
      </c>
      <c r="K13" s="9" t="n">
        <v>100</v>
      </c>
      <c r="L13" s="9" t="n">
        <v>100</v>
      </c>
      <c r="M13" s="4" t="inlineStr">
        <is>
          <t>区位状况·接近性</t>
        </is>
      </c>
      <c r="N13" s="15">
        <f>CONCATENATE(100,"/",D13)</f>
        <v/>
      </c>
      <c r="O13" s="15">
        <f>CONCATENATE(100,"/",E13)</f>
        <v/>
      </c>
      <c r="P13" s="15">
        <f>CONCATENATE(100,"/",F13)</f>
        <v/>
      </c>
      <c r="Q13" s="6" t="n"/>
    </row>
    <row r="14">
      <c r="A14" s="4" t="inlineStr">
        <is>
          <t>区位状况·景观</t>
        </is>
      </c>
      <c r="B14" s="8" t="n"/>
      <c r="C14" s="8" t="n"/>
      <c r="D14" s="8" t="n"/>
      <c r="E14" s="8" t="n"/>
      <c r="F14" s="6" t="n"/>
      <c r="H14" s="4" t="inlineStr">
        <is>
          <t>区位状况·景观</t>
        </is>
      </c>
      <c r="I14" s="9" t="n">
        <v>100</v>
      </c>
      <c r="J14" s="9" t="n">
        <v>100</v>
      </c>
      <c r="K14" s="9" t="n">
        <v>100</v>
      </c>
      <c r="L14" s="9" t="n">
        <v>100</v>
      </c>
      <c r="M14" s="4" t="inlineStr">
        <is>
          <t>区位状况·景观</t>
        </is>
      </c>
      <c r="N14" s="15">
        <f>CONCATENATE(100,"/",D14)</f>
        <v/>
      </c>
      <c r="O14" s="15">
        <f>CONCATENATE(100,"/",E14)</f>
        <v/>
      </c>
      <c r="P14" s="15">
        <f>CONCATENATE(100,"/",F14)</f>
        <v/>
      </c>
      <c r="Q14" s="6" t="n"/>
    </row>
    <row r="15">
      <c r="A15" s="4" t="inlineStr">
        <is>
          <t>区位状况·周边环境状况</t>
        </is>
      </c>
      <c r="B15" s="8" t="n"/>
      <c r="C15" s="8" t="n"/>
      <c r="D15" s="8" t="n"/>
      <c r="E15" s="8" t="n"/>
      <c r="F15" s="6" t="n"/>
      <c r="H15" s="4" t="inlineStr">
        <is>
          <t>区位状况·周边环境状况</t>
        </is>
      </c>
      <c r="I15" s="9" t="n">
        <v>100</v>
      </c>
      <c r="J15" s="9" t="n">
        <v>100</v>
      </c>
      <c r="K15" s="9" t="n">
        <v>100</v>
      </c>
      <c r="L15" s="9" t="n">
        <v>100</v>
      </c>
      <c r="M15" s="4" t="inlineStr">
        <is>
          <t>区位状况·周边环境状况</t>
        </is>
      </c>
      <c r="N15" s="15">
        <f>CONCATENATE(100,"/",D15)</f>
        <v/>
      </c>
      <c r="O15" s="15">
        <f>CONCATENATE(100,"/",E15)</f>
        <v/>
      </c>
      <c r="P15" s="15">
        <f>CONCATENATE(100,"/",F15)</f>
        <v/>
      </c>
      <c r="Q15" s="6" t="n"/>
    </row>
    <row r="16">
      <c r="A16" s="4" t="inlineStr">
        <is>
          <t>区位状况·面积与配套车位数量比</t>
        </is>
      </c>
      <c r="B16" s="8" t="n"/>
      <c r="C16" s="8" t="n"/>
      <c r="D16" s="8" t="n"/>
      <c r="E16" s="8" t="n"/>
      <c r="F16" s="6" t="n"/>
      <c r="H16" s="4" t="inlineStr">
        <is>
          <t>区位状况·面积与配套车位数量比</t>
        </is>
      </c>
      <c r="I16" s="9" t="n">
        <v>100</v>
      </c>
      <c r="J16" s="9" t="n">
        <v>100</v>
      </c>
      <c r="K16" s="9" t="n">
        <v>100</v>
      </c>
      <c r="L16" s="9" t="n">
        <v>100</v>
      </c>
      <c r="M16" s="4" t="inlineStr">
        <is>
          <t>区位状况·面积与配套车位数量比</t>
        </is>
      </c>
      <c r="N16" s="15">
        <f>CONCATENATE(100,"/",D16)</f>
        <v/>
      </c>
      <c r="O16" s="15">
        <f>CONCATENATE(100,"/",E16)</f>
        <v/>
      </c>
      <c r="P16" s="15">
        <f>CONCATENATE(100,"/",F16)</f>
        <v/>
      </c>
      <c r="Q16" s="6" t="n"/>
    </row>
    <row r="17">
      <c r="A17" s="4" t="inlineStr">
        <is>
          <t>区位状况·公共配套设施</t>
        </is>
      </c>
      <c r="B17" s="8" t="n"/>
      <c r="C17" s="8" t="n"/>
      <c r="D17" s="8" t="n"/>
      <c r="E17" s="8" t="n"/>
      <c r="F17" s="6" t="n"/>
      <c r="H17" s="4" t="inlineStr">
        <is>
          <t>区位状况·公共配套设施</t>
        </is>
      </c>
      <c r="I17" s="9" t="n">
        <v>100</v>
      </c>
      <c r="J17" s="9" t="n">
        <v>100</v>
      </c>
      <c r="K17" s="9" t="n">
        <v>100</v>
      </c>
      <c r="L17" s="9" t="n">
        <v>100</v>
      </c>
      <c r="M17" s="4" t="inlineStr">
        <is>
          <t>区位状况·公共配套设施</t>
        </is>
      </c>
      <c r="N17" s="15">
        <f>CONCATENATE(100,"/",D17)</f>
        <v/>
      </c>
      <c r="O17" s="15">
        <f>CONCATENATE(100,"/",E17)</f>
        <v/>
      </c>
      <c r="P17" s="15">
        <f>CONCATENATE(100,"/",F17)</f>
        <v/>
      </c>
      <c r="Q17" s="6" t="n"/>
    </row>
    <row r="18">
      <c r="A18" s="4" t="inlineStr">
        <is>
          <t>区位状况·教育配套设施</t>
        </is>
      </c>
      <c r="B18" s="8" t="n"/>
      <c r="C18" s="8" t="n"/>
      <c r="D18" s="8" t="n"/>
      <c r="E18" s="8" t="n"/>
      <c r="F18" s="6" t="n"/>
      <c r="H18" s="4" t="inlineStr">
        <is>
          <t>区位状况·教育配套设施</t>
        </is>
      </c>
      <c r="I18" s="9" t="n">
        <v>100</v>
      </c>
      <c r="J18" s="9" t="n">
        <v>100</v>
      </c>
      <c r="K18" s="9" t="n">
        <v>100</v>
      </c>
      <c r="L18" s="9" t="n">
        <v>100</v>
      </c>
      <c r="M18" s="4" t="inlineStr">
        <is>
          <t>区位状况·教育配套设施</t>
        </is>
      </c>
      <c r="N18" s="15">
        <f>CONCATENATE(100,"/",D18)</f>
        <v/>
      </c>
      <c r="O18" s="15">
        <f>CONCATENATE(100,"/",E18)</f>
        <v/>
      </c>
      <c r="P18" s="15">
        <f>CONCATENATE(100,"/",F18)</f>
        <v/>
      </c>
      <c r="Q18" s="6" t="n"/>
    </row>
    <row r="19">
      <c r="A19" s="4" t="inlineStr">
        <is>
          <t>实物状况·住宅类型</t>
        </is>
      </c>
      <c r="B19" s="8" t="n"/>
      <c r="C19" s="8" t="n"/>
      <c r="D19" s="8" t="n"/>
      <c r="E19" s="8" t="n"/>
      <c r="F19" s="6" t="n"/>
      <c r="H19" s="4" t="inlineStr">
        <is>
          <t>实物状况·住宅类型</t>
        </is>
      </c>
      <c r="I19" s="9" t="n">
        <v>100</v>
      </c>
      <c r="J19" s="9" t="n">
        <v>100</v>
      </c>
      <c r="K19" s="9" t="n">
        <v>100</v>
      </c>
      <c r="L19" s="9" t="n">
        <v>100</v>
      </c>
      <c r="M19" s="4" t="inlineStr">
        <is>
          <t>实物状况·住宅类型</t>
        </is>
      </c>
      <c r="N19" s="15">
        <f>CONCATENATE(100,"/",D19)</f>
        <v/>
      </c>
      <c r="O19" s="15">
        <f>CONCATENATE(100,"/",E19)</f>
        <v/>
      </c>
      <c r="P19" s="15">
        <f>CONCATENATE(100,"/",F19)</f>
        <v/>
      </c>
      <c r="Q19" s="6" t="n"/>
    </row>
    <row r="20">
      <c r="A20" s="4" t="inlineStr">
        <is>
          <t>实物状况·小区内具体位置</t>
        </is>
      </c>
      <c r="B20" s="8" t="n"/>
      <c r="C20" s="8" t="n"/>
      <c r="D20" s="8" t="n"/>
      <c r="E20" s="8" t="n"/>
      <c r="F20" s="6" t="n"/>
      <c r="H20" s="4" t="inlineStr">
        <is>
          <t>实物状况·小区内具体位置</t>
        </is>
      </c>
      <c r="I20" s="9" t="n">
        <v>100</v>
      </c>
      <c r="J20" s="9" t="n">
        <v>100</v>
      </c>
      <c r="K20" s="9" t="n">
        <v>100</v>
      </c>
      <c r="L20" s="9" t="n">
        <v>100</v>
      </c>
      <c r="M20" s="4" t="inlineStr">
        <is>
          <t>实物状况·小区内具体位置</t>
        </is>
      </c>
      <c r="N20" s="15">
        <f>CONCATENATE(100,"/",D20)</f>
        <v/>
      </c>
      <c r="O20" s="15">
        <f>CONCATENATE(100,"/",E20)</f>
        <v/>
      </c>
      <c r="P20" s="15">
        <f>CONCATENATE(100,"/",F20)</f>
        <v/>
      </c>
      <c r="Q20" s="6" t="n"/>
    </row>
    <row r="21">
      <c r="A21" s="4" t="inlineStr">
        <is>
          <t>实物状况·外观形象</t>
        </is>
      </c>
      <c r="B21" s="8" t="n"/>
      <c r="C21" s="8" t="n"/>
      <c r="D21" s="8" t="n"/>
      <c r="E21" s="8" t="n"/>
      <c r="F21" s="6" t="n"/>
      <c r="H21" s="4" t="inlineStr">
        <is>
          <t>实物状况·外观形象</t>
        </is>
      </c>
      <c r="I21" s="9" t="n">
        <v>100</v>
      </c>
      <c r="J21" s="9" t="n">
        <v>100</v>
      </c>
      <c r="K21" s="9" t="n">
        <v>100</v>
      </c>
      <c r="L21" s="9" t="n">
        <v>100</v>
      </c>
      <c r="M21" s="4" t="inlineStr">
        <is>
          <t>实物状况·外观形象</t>
        </is>
      </c>
      <c r="N21" s="15">
        <f>CONCATENATE(100,"/",D21)</f>
        <v/>
      </c>
      <c r="O21" s="15">
        <f>CONCATENATE(100,"/",E21)</f>
        <v/>
      </c>
      <c r="P21" s="15">
        <f>CONCATENATE(100,"/",F21)</f>
        <v/>
      </c>
      <c r="Q21" s="6" t="n"/>
    </row>
    <row r="22">
      <c r="A22" s="4" t="inlineStr">
        <is>
          <t>实物状况·装修·公共区域</t>
        </is>
      </c>
      <c r="B22" s="8" t="n"/>
      <c r="C22" s="8" t="n"/>
      <c r="D22" s="8" t="n"/>
      <c r="E22" s="8" t="n"/>
      <c r="F22" s="6" t="n"/>
      <c r="H22" s="4" t="inlineStr">
        <is>
          <t>实物状况·装修·公共区域</t>
        </is>
      </c>
      <c r="I22" s="9" t="n">
        <v>100</v>
      </c>
      <c r="J22" s="9" t="n">
        <v>100</v>
      </c>
      <c r="K22" s="9" t="n">
        <v>100</v>
      </c>
      <c r="L22" s="9" t="n">
        <v>100</v>
      </c>
      <c r="M22" s="4" t="inlineStr">
        <is>
          <t>实物状况·装修·公共区域</t>
        </is>
      </c>
      <c r="N22" s="15">
        <f>CONCATENATE(100,"/",D22)</f>
        <v/>
      </c>
      <c r="O22" s="15">
        <f>CONCATENATE(100,"/",E22)</f>
        <v/>
      </c>
      <c r="P22" s="15">
        <f>CONCATENATE(100,"/",F22)</f>
        <v/>
      </c>
      <c r="Q22" s="6" t="n"/>
    </row>
    <row r="23">
      <c r="A23" s="4" t="inlineStr">
        <is>
          <t>实物状况·装修·室内</t>
        </is>
      </c>
      <c r="B23" s="8" t="n"/>
      <c r="C23" s="8" t="n"/>
      <c r="D23" s="8" t="n"/>
      <c r="E23" s="8" t="n"/>
      <c r="F23" s="6" t="n"/>
      <c r="H23" s="4" t="inlineStr">
        <is>
          <t>实物状况·装修·室内</t>
        </is>
      </c>
      <c r="I23" s="9" t="n">
        <v>100</v>
      </c>
      <c r="J23" s="9" t="n">
        <v>100</v>
      </c>
      <c r="K23" s="9" t="n">
        <v>100</v>
      </c>
      <c r="L23" s="9" t="n">
        <v>100</v>
      </c>
      <c r="M23" s="4" t="inlineStr">
        <is>
          <t>实物状况·装修·室内</t>
        </is>
      </c>
      <c r="N23" s="15">
        <f>CONCATENATE(100,"/",D23)</f>
        <v/>
      </c>
      <c r="O23" s="15">
        <f>CONCATENATE(100,"/",E23)</f>
        <v/>
      </c>
      <c r="P23" s="15">
        <f>CONCATENATE(100,"/",F23)</f>
        <v/>
      </c>
      <c r="Q23" s="6" t="n"/>
    </row>
    <row r="24">
      <c r="A24" s="4" t="inlineStr">
        <is>
          <t>实物状况·面积大小</t>
        </is>
      </c>
      <c r="B24" s="8" t="n"/>
      <c r="C24" s="8" t="n"/>
      <c r="D24" s="8" t="n"/>
      <c r="E24" s="8" t="n"/>
      <c r="F24" s="6" t="n"/>
      <c r="H24" s="4" t="inlineStr">
        <is>
          <t>实物状况·面积大小</t>
        </is>
      </c>
      <c r="I24" s="9" t="n">
        <v>100</v>
      </c>
      <c r="J24" s="9" t="n">
        <v>100</v>
      </c>
      <c r="K24" s="9" t="n">
        <v>100</v>
      </c>
      <c r="L24" s="9" t="n">
        <v>100</v>
      </c>
      <c r="M24" s="4" t="inlineStr">
        <is>
          <t>实物状况·面积大小</t>
        </is>
      </c>
      <c r="N24" s="15">
        <f>CONCATENATE(100,"/",D24)</f>
        <v/>
      </c>
      <c r="O24" s="15">
        <f>CONCATENATE(100,"/",E24)</f>
        <v/>
      </c>
      <c r="P24" s="15">
        <f>CONCATENATE(100,"/",F24)</f>
        <v/>
      </c>
      <c r="Q24" s="6" t="n"/>
    </row>
    <row r="25">
      <c r="A25" s="4" t="inlineStr">
        <is>
          <t>实物状况·配套设备设施</t>
        </is>
      </c>
      <c r="B25" s="8" t="n"/>
      <c r="C25" s="8" t="n"/>
      <c r="D25" s="8" t="n"/>
      <c r="E25" s="8" t="n"/>
      <c r="F25" s="6" t="n"/>
      <c r="H25" s="4" t="inlineStr">
        <is>
          <t>实物状况·配套设备设施</t>
        </is>
      </c>
      <c r="I25" s="9" t="n">
        <v>100</v>
      </c>
      <c r="J25" s="9" t="n">
        <v>100</v>
      </c>
      <c r="K25" s="9" t="n">
        <v>100</v>
      </c>
      <c r="L25" s="9" t="n">
        <v>100</v>
      </c>
      <c r="M25" s="4" t="inlineStr">
        <is>
          <t>实物状况·配套设备设施</t>
        </is>
      </c>
      <c r="N25" s="15">
        <f>CONCATENATE(100,"/",D25)</f>
        <v/>
      </c>
      <c r="O25" s="15">
        <f>CONCATENATE(100,"/",E25)</f>
        <v/>
      </c>
      <c r="P25" s="15">
        <f>CONCATENATE(100,"/",F25)</f>
        <v/>
      </c>
      <c r="Q25" s="6" t="n"/>
    </row>
    <row r="26">
      <c r="A26" s="4" t="inlineStr">
        <is>
          <t>实物状况·土地红线内基础设施</t>
        </is>
      </c>
      <c r="B26" s="8" t="n"/>
      <c r="C26" s="8" t="n"/>
      <c r="D26" s="8" t="n"/>
      <c r="E26" s="8" t="n"/>
      <c r="F26" s="6" t="n"/>
      <c r="H26" s="4" t="inlineStr">
        <is>
          <t>实物状况·土地红线内基础设施</t>
        </is>
      </c>
      <c r="I26" s="9" t="n">
        <v>100</v>
      </c>
      <c r="J26" s="9" t="n">
        <v>100</v>
      </c>
      <c r="K26" s="9" t="n">
        <v>100</v>
      </c>
      <c r="L26" s="9" t="n">
        <v>100</v>
      </c>
      <c r="M26" s="4" t="inlineStr">
        <is>
          <t>实物状况·土地红线内基础设施</t>
        </is>
      </c>
      <c r="N26" s="15">
        <f>CONCATENATE(100,"/",D26)</f>
        <v/>
      </c>
      <c r="O26" s="15">
        <f>CONCATENATE(100,"/",E26)</f>
        <v/>
      </c>
      <c r="P26" s="15">
        <f>CONCATENATE(100,"/",F26)</f>
        <v/>
      </c>
      <c r="Q26" s="6" t="n"/>
    </row>
    <row r="27">
      <c r="A27" s="4" t="inlineStr">
        <is>
          <t>实物状况·物业管理水平</t>
        </is>
      </c>
      <c r="B27" s="8" t="n"/>
      <c r="C27" s="8" t="n"/>
      <c r="D27" s="8" t="n"/>
      <c r="E27" s="8" t="n"/>
      <c r="F27" s="6" t="n"/>
      <c r="H27" s="4" t="inlineStr">
        <is>
          <t>实物状况·物业管理水平</t>
        </is>
      </c>
      <c r="I27" s="9" t="n">
        <v>100</v>
      </c>
      <c r="J27" s="9" t="n">
        <v>100</v>
      </c>
      <c r="K27" s="9" t="n">
        <v>100</v>
      </c>
      <c r="L27" s="9" t="n">
        <v>100</v>
      </c>
      <c r="M27" s="4" t="inlineStr">
        <is>
          <t>实物状况·物业管理水平</t>
        </is>
      </c>
      <c r="N27" s="15">
        <f>CONCATENATE(100,"/",D27)</f>
        <v/>
      </c>
      <c r="O27" s="15">
        <f>CONCATENATE(100,"/",E27)</f>
        <v/>
      </c>
      <c r="P27" s="15">
        <f>CONCATENATE(100,"/",F27)</f>
        <v/>
      </c>
      <c r="Q27" s="6" t="n"/>
    </row>
    <row r="28">
      <c r="A28" s="4" t="inlineStr">
        <is>
          <t>实物状况·是否有学区资格</t>
        </is>
      </c>
      <c r="B28" s="8" t="n"/>
      <c r="C28" s="8" t="n"/>
      <c r="D28" s="8" t="n"/>
      <c r="E28" s="8" t="n"/>
      <c r="F28" s="6" t="n"/>
      <c r="H28" s="4" t="inlineStr">
        <is>
          <t>实物状况·是否有学区资格</t>
        </is>
      </c>
      <c r="I28" s="9" t="n">
        <v>100</v>
      </c>
      <c r="J28" s="9" t="n">
        <v>100</v>
      </c>
      <c r="K28" s="9" t="n">
        <v>100</v>
      </c>
      <c r="L28" s="9" t="n">
        <v>100</v>
      </c>
      <c r="M28" s="4" t="inlineStr">
        <is>
          <t>实物状况·是否有学区资格</t>
        </is>
      </c>
      <c r="N28" s="15">
        <f>CONCATENATE(100,"/",D28)</f>
        <v/>
      </c>
      <c r="O28" s="15">
        <f>CONCATENATE(100,"/",E28)</f>
        <v/>
      </c>
      <c r="P28" s="15">
        <f>CONCATENATE(100,"/",F28)</f>
        <v/>
      </c>
      <c r="Q28" s="6" t="n"/>
    </row>
    <row r="29">
      <c r="A29" s="4" t="inlineStr">
        <is>
          <t>实物状况·成新及维护保养状况</t>
        </is>
      </c>
      <c r="B29" s="8" t="n"/>
      <c r="C29" s="8" t="n"/>
      <c r="D29" s="8" t="n"/>
      <c r="E29" s="8" t="n"/>
      <c r="F29" s="6" t="n"/>
      <c r="H29" s="4" t="inlineStr">
        <is>
          <t>实物状况·成新及维护保养状况</t>
        </is>
      </c>
      <c r="I29" s="9" t="n">
        <v>100</v>
      </c>
      <c r="J29" s="9" t="n">
        <v>100</v>
      </c>
      <c r="K29" s="9" t="n">
        <v>100</v>
      </c>
      <c r="L29" s="9" t="n">
        <v>100</v>
      </c>
      <c r="M29" s="4" t="inlineStr">
        <is>
          <t>实物状况·成新及维护保养状况</t>
        </is>
      </c>
      <c r="N29" s="15">
        <f>CONCATENATE(100,"/",D29)</f>
        <v/>
      </c>
      <c r="O29" s="15">
        <f>CONCATENATE(100,"/",E29)</f>
        <v/>
      </c>
      <c r="P29" s="15">
        <f>CONCATENATE(100,"/",F29)</f>
        <v/>
      </c>
      <c r="Q29" s="6" t="n"/>
    </row>
    <row r="30">
      <c r="A30" s="4" t="inlineStr">
        <is>
          <t>实物状况·建筑结构</t>
        </is>
      </c>
      <c r="B30" s="8" t="n"/>
      <c r="C30" s="8" t="n"/>
      <c r="D30" s="8" t="n"/>
      <c r="E30" s="8" t="n"/>
      <c r="F30" s="6" t="n"/>
      <c r="H30" s="4" t="inlineStr">
        <is>
          <t>实物状况·建筑结构</t>
        </is>
      </c>
      <c r="I30" s="9" t="n">
        <v>100</v>
      </c>
      <c r="J30" s="9" t="n">
        <v>100</v>
      </c>
      <c r="K30" s="9" t="n">
        <v>100</v>
      </c>
      <c r="L30" s="9" t="n">
        <v>100</v>
      </c>
      <c r="M30" s="4" t="inlineStr">
        <is>
          <t>实物状况·建筑结构</t>
        </is>
      </c>
      <c r="N30" s="15">
        <f>CONCATENATE(100,"/",D30)</f>
        <v/>
      </c>
      <c r="O30" s="15">
        <f>CONCATENATE(100,"/",E30)</f>
        <v/>
      </c>
      <c r="P30" s="15">
        <f>CONCATENATE(100,"/",F30)</f>
        <v/>
      </c>
      <c r="Q30" s="6" t="n"/>
    </row>
    <row r="31">
      <c r="A31" s="4" t="inlineStr">
        <is>
          <t>权益状况·租赁权</t>
        </is>
      </c>
      <c r="B31" s="8" t="n"/>
      <c r="C31" s="8" t="n"/>
      <c r="D31" s="8" t="n"/>
      <c r="E31" s="8" t="n"/>
      <c r="F31" s="6" t="n"/>
      <c r="H31" s="4" t="inlineStr">
        <is>
          <t>权益状况·租赁权</t>
        </is>
      </c>
      <c r="I31" s="9" t="n">
        <v>100</v>
      </c>
      <c r="J31" s="9" t="n">
        <v>100</v>
      </c>
      <c r="K31" s="9" t="n">
        <v>100</v>
      </c>
      <c r="L31" s="9" t="n">
        <v>100</v>
      </c>
      <c r="M31" s="4" t="inlineStr">
        <is>
          <t>权益状况·租赁权</t>
        </is>
      </c>
      <c r="N31" s="15">
        <f>CONCATENATE(100,"/",D31)</f>
        <v/>
      </c>
      <c r="O31" s="15">
        <f>CONCATENATE(100,"/",E31)</f>
        <v/>
      </c>
      <c r="P31" s="15">
        <f>CONCATENATE(100,"/",F31)</f>
        <v/>
      </c>
      <c r="Q31" s="6" t="n"/>
    </row>
    <row r="32">
      <c r="A32" s="4" t="inlineStr">
        <is>
          <t>权益状况·抵押权</t>
        </is>
      </c>
      <c r="B32" s="8" t="n"/>
      <c r="C32" s="8" t="n"/>
      <c r="D32" s="8" t="n"/>
      <c r="E32" s="8" t="n"/>
      <c r="F32" s="6" t="n"/>
      <c r="H32" s="4" t="inlineStr">
        <is>
          <t>权益状况·抵押权</t>
        </is>
      </c>
      <c r="I32" s="9" t="n">
        <v>100</v>
      </c>
      <c r="J32" s="9" t="n">
        <v>100</v>
      </c>
      <c r="K32" s="9" t="n">
        <v>100</v>
      </c>
      <c r="L32" s="9" t="n">
        <v>100</v>
      </c>
      <c r="M32" s="4" t="inlineStr">
        <is>
          <t>权益状况·抵押权</t>
        </is>
      </c>
      <c r="N32" s="15">
        <f>CONCATENATE(100,"/",D32)</f>
        <v/>
      </c>
      <c r="O32" s="15">
        <f>CONCATENATE(100,"/",E32)</f>
        <v/>
      </c>
      <c r="P32" s="15">
        <f>CONCATENATE(100,"/",F32)</f>
        <v/>
      </c>
      <c r="Q32" s="6" t="n"/>
    </row>
    <row r="33">
      <c r="A33" s="4" t="inlineStr">
        <is>
          <t>权益状况·土地剩余经济年限</t>
        </is>
      </c>
      <c r="B33" s="8" t="n"/>
      <c r="C33" s="8" t="n"/>
      <c r="D33" s="8" t="n"/>
      <c r="E33" s="8" t="n"/>
      <c r="F33" s="6" t="n"/>
      <c r="H33" s="4" t="inlineStr">
        <is>
          <t>权益状况·土地剩余经济年限</t>
        </is>
      </c>
      <c r="I33" s="9" t="n">
        <v>100</v>
      </c>
      <c r="J33" s="9" t="n">
        <v>100</v>
      </c>
      <c r="K33" s="9" t="n">
        <v>100</v>
      </c>
      <c r="L33" s="9" t="n">
        <v>100</v>
      </c>
      <c r="M33" s="4" t="inlineStr">
        <is>
          <t>权益状况·土地剩余经济年限</t>
        </is>
      </c>
      <c r="N33" s="15">
        <f>CONCATENATE(100,"/",D33)</f>
        <v/>
      </c>
      <c r="O33" s="15">
        <f>CONCATENATE(100,"/",E33)</f>
        <v/>
      </c>
      <c r="P33" s="15">
        <f>CONCATENATE(100,"/",F33)</f>
        <v/>
      </c>
      <c r="Q33" s="6" t="n"/>
    </row>
    <row r="34">
      <c r="A34" s="4" t="inlineStr">
        <is>
          <t>权益状况·其他权利限制</t>
        </is>
      </c>
      <c r="B34" s="8" t="n"/>
      <c r="C34" s="8" t="n"/>
      <c r="D34" s="8" t="n"/>
      <c r="E34" s="8" t="n"/>
      <c r="F34" s="6" t="n"/>
      <c r="H34" s="4" t="inlineStr">
        <is>
          <t>权益状况·其他权利限制</t>
        </is>
      </c>
      <c r="I34" s="9" t="n">
        <v>100</v>
      </c>
      <c r="J34" s="9" t="n">
        <v>100</v>
      </c>
      <c r="K34" s="9" t="n">
        <v>100</v>
      </c>
      <c r="L34" s="9" t="n">
        <v>100</v>
      </c>
      <c r="M34" s="4" t="inlineStr">
        <is>
          <t>权益状况·其他权利限制</t>
        </is>
      </c>
      <c r="N34" s="15">
        <f>CONCATENATE(100,"/",D34)</f>
        <v/>
      </c>
      <c r="O34" s="15">
        <f>CONCATENATE(100,"/",E34)</f>
        <v/>
      </c>
      <c r="P34" s="15">
        <f>CONCATENATE(100,"/",F34)</f>
        <v/>
      </c>
      <c r="Q34" s="6" t="n"/>
    </row>
    <row r="36">
      <c r="A36" s="3" t="inlineStr">
        <is>
          <t>四、比准价格与评估单价</t>
        </is>
      </c>
    </row>
    <row r="37">
      <c r="A37" s="4" t="inlineStr">
        <is>
          <t>修正系数积</t>
        </is>
      </c>
      <c r="B37" s="14">
        <f>ROUND(PRODUCT($I$7:$I$33)/PRODUCT(B$7:B$33),4)</f>
        <v/>
      </c>
      <c r="C37" s="14">
        <f>ROUND(PRODUCT($I$7:$I$33)/PRODUCT(C$7:C$33),4)</f>
        <v/>
      </c>
      <c r="D37" s="14">
        <f>ROUND(PRODUCT($I$7:$I$33)/PRODUCT(D$7:D$33),4)</f>
        <v/>
      </c>
      <c r="E37" s="14">
        <f>ROUND(PRODUCT($I$7:$I$33)/PRODUCT(E$7:E$33),4)</f>
        <v/>
      </c>
      <c r="F37" s="6" t="inlineStr">
        <is>
          <t>四位小数；= Π(评估对象指数) / Π(案例指数)</t>
        </is>
      </c>
    </row>
    <row r="38">
      <c r="A38" s="4" t="inlineStr">
        <is>
          <t>比准价格（元/㎡）</t>
        </is>
      </c>
      <c r="B38" s="14">
        <f>ROUND(B$6*B$37,-1)</f>
        <v/>
      </c>
      <c r="C38" s="14">
        <f>ROUND(C$6*C$37,-1)</f>
        <v/>
      </c>
      <c r="D38" s="14">
        <f>ROUND(D$6*D$37,-1)</f>
        <v/>
      </c>
      <c r="E38" s="14">
        <f>ROUND(E$6*E$37,-1)</f>
        <v/>
      </c>
      <c r="F38" s="6" t="inlineStr">
        <is>
          <t>交易单价 × 修正系数积</t>
        </is>
      </c>
    </row>
    <row r="39">
      <c r="A39" s="4" t="inlineStr">
        <is>
          <t>评估单价（元/㎡）</t>
        </is>
      </c>
      <c r="B39" s="14">
        <f>ROUND(AVERAGE(B38:E38),-1)</f>
        <v/>
      </c>
      <c r="C39" s="14" t="n"/>
      <c r="D39" s="14" t="n"/>
      <c r="E39" s="14" t="n"/>
      <c r="F39" s="6" t="inlineStr">
        <is>
          <t>各比准价格算术平均</t>
        </is>
      </c>
    </row>
    <row r="40">
      <c r="A40" s="4" t="inlineStr">
        <is>
          <t>建筑面积（㎡）</t>
        </is>
      </c>
      <c r="B40" s="14" t="n"/>
      <c r="C40" s="14" t="n"/>
      <c r="D40" s="14" t="n"/>
      <c r="E40" s="14" t="n"/>
      <c r="F40" s="6" t="inlineStr">
        <is>
          <t>与汇总表一致（输入区）</t>
        </is>
      </c>
    </row>
    <row r="41">
      <c r="A41" s="4" t="inlineStr">
        <is>
          <t>评估值（元）</t>
        </is>
      </c>
      <c r="B41" s="14">
        <f>ROUND(B39*B40,-2)</f>
        <v/>
      </c>
      <c r="C41" s="14" t="n"/>
      <c r="D41" s="14" t="n"/>
      <c r="E41" s="14" t="n"/>
      <c r="F41" s="6" t="inlineStr">
        <is>
          <t>评估单价 × 建筑面积</t>
        </is>
      </c>
    </row>
    <row r="42">
      <c r="A42" s="4" t="inlineStr">
        <is>
          <t>增值税率</t>
        </is>
      </c>
      <c r="B42" s="14">
        <f>'基础信息表'!$B$10</f>
        <v/>
      </c>
      <c r="C42" s="14" t="n"/>
      <c r="D42" s="14" t="n"/>
      <c r="E42" s="14" t="n"/>
      <c r="F42" s="6" t="inlineStr">
        <is>
          <t>取自「基础信息表」参数与税率区（企业处置不动产）</t>
        </is>
      </c>
    </row>
    <row r="43">
      <c r="A43" s="4" t="inlineStr">
        <is>
          <t>含税单价（元/㎡）</t>
        </is>
      </c>
      <c r="B43" s="14">
        <f>ROUND(B39*(1+B42),-1)</f>
        <v/>
      </c>
      <c r="C43" s="14" t="n"/>
      <c r="D43" s="14" t="n"/>
      <c r="E43" s="14" t="n"/>
      <c r="F43" s="6" t="inlineStr">
        <is>
          <t>不含税单价 ×(1+增值税率)</t>
        </is>
      </c>
    </row>
    <row r="44">
      <c r="A44" s="4" t="inlineStr">
        <is>
          <t>增值税（元/㎡）</t>
        </is>
      </c>
      <c r="B44" s="14">
        <f>B43-B39</f>
        <v/>
      </c>
      <c r="C44" s="14" t="n"/>
      <c r="D44" s="14" t="n"/>
      <c r="E44" s="14" t="n"/>
      <c r="F44" s="6" t="inlineStr">
        <is>
          <t>含税单价 − 不含税单价</t>
        </is>
      </c>
    </row>
    <row r="45">
      <c r="A45" s="4" t="inlineStr">
        <is>
          <t>单因素修正幅度上限检查</t>
        </is>
      </c>
      <c r="B45" s="14">
        <f>IF(MAX(ABS(100-B7:E33))&gt;20,"需说明","≤20% OK")</f>
        <v/>
      </c>
      <c r="C45" s="14" t="n"/>
      <c r="D45" s="14" t="n"/>
      <c r="E45" s="14" t="n"/>
      <c r="F45" s="6" t="inlineStr">
        <is>
          <t>规范：单项修正不宜超 20%</t>
        </is>
      </c>
    </row>
    <row r="46">
      <c r="A46" s="4" t="inlineStr">
        <is>
          <t>整体修正幅度检查</t>
        </is>
      </c>
      <c r="B46" s="14">
        <f>IF(MAX(ABS(1-B37:E37))&gt;0.3,"需说明","≤30% OK")</f>
        <v/>
      </c>
      <c r="C46" s="14" t="n"/>
      <c r="D46" s="14" t="n"/>
      <c r="E46" s="14" t="n"/>
      <c r="F46" s="6" t="inlineStr">
        <is>
          <t>规范：共同修正不宜超 30%</t>
        </is>
      </c>
    </row>
    <row r="47">
      <c r="A47" s="4" t="inlineStr">
        <is>
          <t>比价合理区间检查</t>
        </is>
      </c>
      <c r="B47" s="14">
        <f>IF(MAX(B38:E38)/MIN(B38:E38)&gt;1.2,"超限","≤1.2 OK")</f>
        <v/>
      </c>
      <c r="C47" s="14" t="n"/>
      <c r="D47" s="14" t="n"/>
      <c r="E47" s="14" t="n"/>
      <c r="F47" s="6" t="inlineStr">
        <is>
          <t>规范：最高价/最低价不宜大于 1.2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6" customWidth="1" min="4" max="4"/>
    <col width="52" customWidth="1" min="5" max="5"/>
    <col width="40" customWidth="1" min="6" max="6"/>
    <col width="4" customWidth="1" min="7" max="7"/>
  </cols>
  <sheetData>
    <row r="1">
      <c r="A1" s="1" t="inlineStr">
        <is>
          <t>收益法</t>
        </is>
      </c>
    </row>
    <row r="2">
      <c r="A2" s="2" t="inlineStr">
        <is>
          <t>单位：元/㎡（第9行总价单位为万元）。参数与依据见 references/03、references/05。</t>
        </is>
      </c>
    </row>
    <row r="4">
      <c r="A4" s="4" t="inlineStr">
        <is>
          <t>起始年期（=评估基准日）</t>
        </is>
      </c>
      <c r="B4" s="16" t="n"/>
      <c r="C4" s="4" t="inlineStr">
        <is>
          <t>土地终止年限</t>
        </is>
      </c>
      <c r="D4" s="16" t="n"/>
      <c r="E4" s="4" t="inlineStr">
        <is>
          <t>建筑终止年限</t>
        </is>
      </c>
      <c r="F4" s="16" t="n"/>
      <c r="G4" s="6" t="inlineStr">
        <is>
          <t>孰短原则：终点取土地与建筑终止年限较早者</t>
        </is>
      </c>
    </row>
    <row r="5">
      <c r="A5" s="4" t="inlineStr">
        <is>
          <t>可收益建筑面积（㎡）</t>
        </is>
      </c>
      <c r="B5" s="9" t="n"/>
      <c r="C5" s="6" t="inlineStr">
        <is>
          <t>与「估值结果汇总」一致</t>
        </is>
      </c>
    </row>
    <row r="7">
      <c r="A7" s="7" t="inlineStr">
        <is>
          <t>序号</t>
        </is>
      </c>
      <c r="B7" s="7" t="inlineStr">
        <is>
          <t>测算项目</t>
        </is>
      </c>
      <c r="C7" s="7" t="inlineStr">
        <is>
          <t>取值</t>
        </is>
      </c>
      <c r="D7" s="7" t="inlineStr">
        <is>
          <t>后台费率</t>
        </is>
      </c>
      <c r="E7" s="7" t="inlineStr">
        <is>
          <t>后台公式 / 计算说明</t>
        </is>
      </c>
      <c r="F7" s="7" t="inlineStr">
        <is>
          <t>测算说明</t>
        </is>
      </c>
      <c r="G7" s="7" t="inlineStr"/>
    </row>
    <row r="9">
      <c r="A9" s="7" t="inlineStr">
        <is>
          <t>1.0</t>
        </is>
      </c>
      <c r="B9" s="4" t="inlineStr">
        <is>
          <t>日租金（元/㎡·天）</t>
        </is>
      </c>
      <c r="C9" s="17" t="n"/>
      <c r="D9" s="9" t="n"/>
      <c r="E9" s="6">
        <f> 月含税租金 × 12 / 建筑面积 / 365</f>
        <v/>
      </c>
      <c r="F9" s="6" t="inlineStr">
        <is>
          <t>租金案例来源须写明</t>
        </is>
      </c>
    </row>
    <row r="10">
      <c r="A10" s="7" t="inlineStr">
        <is>
          <t>1</t>
        </is>
      </c>
      <c r="B10" s="4" t="inlineStr">
        <is>
          <t>年房地产有效毛收入</t>
        </is>
      </c>
      <c r="C10" s="14">
        <f>ROUND(C11-C12+C13,2)</f>
        <v/>
      </c>
      <c r="D10" s="9" t="n"/>
      <c r="E10" s="6" t="inlineStr">
        <is>
          <t>1 = 潜在毛收入 − 空置损失 + 其他收入</t>
        </is>
      </c>
      <c r="F10" s="6" t="inlineStr">
        <is>
          <t>按 365 天/年测算</t>
        </is>
      </c>
    </row>
    <row r="11">
      <c r="A11" s="7" t="inlineStr">
        <is>
          <t>1.1</t>
        </is>
      </c>
      <c r="B11" s="4" t="inlineStr">
        <is>
          <t>年房地产潜在毛收入</t>
        </is>
      </c>
      <c r="C11" s="14">
        <f>ROUND(C9*365,2)</f>
        <v/>
      </c>
      <c r="D11" s="9" t="n"/>
      <c r="E11" s="6">
        <f> 日租金 × 365</f>
        <v/>
      </c>
      <c r="F11" s="6" t="inlineStr">
        <is>
          <t>日租金由租金案例反算</t>
        </is>
      </c>
    </row>
    <row r="12">
      <c r="A12" s="7" t="inlineStr">
        <is>
          <t>1.2</t>
        </is>
      </c>
      <c r="B12" s="4" t="inlineStr">
        <is>
          <t>空置造成的租金损失</t>
        </is>
      </c>
      <c r="C12" s="14">
        <f>ROUND(D11*C11*365,2)</f>
        <v/>
      </c>
      <c r="D12" s="9" t="n"/>
      <c r="E12" s="6">
        <f> 空置率 × 潜在毛收入</f>
        <v/>
      </c>
      <c r="F12" s="6" t="inlineStr">
        <is>
          <t>空置率依据见基础信息表</t>
        </is>
      </c>
    </row>
    <row r="13">
      <c r="A13" s="7" t="inlineStr">
        <is>
          <t>1.3</t>
        </is>
      </c>
      <c r="B13" s="4" t="inlineStr">
        <is>
          <t>其他收入（押金利息）</t>
        </is>
      </c>
      <c r="C13" s="14">
        <f>ROUND(D9*D9*F9*(1-D9),2)</f>
        <v/>
      </c>
      <c r="D13" s="9" t="n"/>
      <c r="E13" s="6">
        <f> 保证金 × 一年期存款利率 ×(1 − 空置率)</f>
        <v/>
      </c>
      <c r="F13" s="6" t="inlineStr">
        <is>
          <t>保证金 = 日租金 × 押金天数</t>
        </is>
      </c>
    </row>
    <row r="14">
      <c r="A14" s="7" t="inlineStr">
        <is>
          <t>2</t>
        </is>
      </c>
      <c r="B14" s="4" t="inlineStr">
        <is>
          <t>年运营费用</t>
        </is>
      </c>
      <c r="C14" s="14">
        <f>ROUND(SUM(C15:C19)+C20+C21+C22+C23+C24+C25,2)</f>
        <v/>
      </c>
      <c r="D14" s="9" t="n"/>
      <c r="E14" s="6" t="inlineStr">
        <is>
          <t>2 = 2.1 + 2.2 + 2.3 + 2.4 + 2.5 + 2.6 + 2.7</t>
        </is>
      </c>
      <c r="F14" s="6" t="inlineStr">
        <is>
          <t>出租主体决定税率</t>
        </is>
      </c>
    </row>
    <row r="15">
      <c r="A15" s="7" t="inlineStr">
        <is>
          <t>2.1</t>
        </is>
      </c>
      <c r="B15" s="4" t="inlineStr">
        <is>
          <t>增值税及附加</t>
        </is>
      </c>
      <c r="C15" s="14">
        <f>SUM(C16:C19)</f>
        <v/>
      </c>
      <c r="D15" s="9" t="n"/>
      <c r="E15" s="6">
        <f> 增值税 + 城建税 + 教育附加 + 地方教育附加</f>
        <v/>
      </c>
      <c r="F15" s="6" t="inlineStr">
        <is>
          <t>增值税免征则附加免征</t>
        </is>
      </c>
    </row>
    <row r="16">
      <c r="A16" s="7" t="inlineStr">
        <is>
          <t>2.1.1</t>
        </is>
      </c>
      <c r="B16" s="4" t="inlineStr">
        <is>
          <t>增值税</t>
        </is>
      </c>
      <c r="C16" s="14">
        <f>ROUND((C10-C13)/(1+D16)*D16,2)</f>
        <v/>
      </c>
      <c r="D16" s="9" t="n"/>
      <c r="E16" s="6">
        <f> (有效毛收入 − 其他收入)/(1+税率) × 税率</f>
        <v/>
      </c>
      <c r="F16" s="6" t="inlineStr">
        <is>
          <t>企业 9% / 个人出租住房 1.5%</t>
        </is>
      </c>
    </row>
    <row r="17">
      <c r="A17" s="7" t="inlineStr">
        <is>
          <t>2.1.2</t>
        </is>
      </c>
      <c r="B17" s="4" t="inlineStr">
        <is>
          <t>城建税</t>
        </is>
      </c>
      <c r="C17" s="14">
        <f>ROUND($C$16*D17,2)</f>
        <v/>
      </c>
      <c r="D17" s="9" t="n"/>
      <c r="E17" s="6">
        <f> 增值税 × 城建税率</f>
        <v/>
      </c>
      <c r="F17" s="6" t="inlineStr">
        <is>
          <t>市区 7%</t>
        </is>
      </c>
    </row>
    <row r="18">
      <c r="A18" s="7" t="inlineStr">
        <is>
          <t>2.1.3</t>
        </is>
      </c>
      <c r="B18" s="4" t="inlineStr">
        <is>
          <t>教育附加</t>
        </is>
      </c>
      <c r="C18" s="14">
        <f>ROUND($C$16*D18,2)</f>
        <v/>
      </c>
      <c r="D18" s="9" t="n"/>
      <c r="E18" s="6">
        <f> 增值税 × 3%</f>
        <v/>
      </c>
      <c r="F18" s="6" t="n"/>
    </row>
    <row r="19">
      <c r="A19" s="7" t="inlineStr">
        <is>
          <t>2.1.4</t>
        </is>
      </c>
      <c r="B19" s="4" t="inlineStr">
        <is>
          <t>地方教育附加</t>
        </is>
      </c>
      <c r="C19" s="14">
        <f>ROUND($C$16*D19,2)</f>
        <v/>
      </c>
      <c r="D19" s="9" t="n"/>
      <c r="E19" s="6">
        <f> 增值税 × 2%</f>
        <v/>
      </c>
      <c r="F19" s="6" t="inlineStr">
        <is>
          <t>按项目所在地</t>
        </is>
      </c>
    </row>
    <row r="20">
      <c r="A20" s="7" t="inlineStr">
        <is>
          <t>2.2</t>
        </is>
      </c>
      <c r="B20" s="4" t="inlineStr">
        <is>
          <t>管理费</t>
        </is>
      </c>
      <c r="C20" s="14">
        <f>ROUND(C10*$D$20,2)</f>
        <v/>
      </c>
      <c r="D20" s="9" t="n"/>
      <c r="E20" s="6">
        <f> 有效毛收入 × 费率</f>
        <v/>
      </c>
      <c r="F20" s="6" t="inlineStr">
        <is>
          <t>费率依据见基础信息表</t>
        </is>
      </c>
    </row>
    <row r="21">
      <c r="A21" s="7" t="inlineStr">
        <is>
          <t>2.3</t>
        </is>
      </c>
      <c r="B21" s="4" t="inlineStr">
        <is>
          <t>房产税</t>
        </is>
      </c>
      <c r="C21" s="14">
        <f>ROUND((C10-C13-C16)*D21,2)</f>
        <v/>
      </c>
      <c r="D21" s="9" t="n"/>
      <c r="E21" s="6">
        <f> (有效毛收入 − 其他收入 − 增值税) × 税率</f>
        <v/>
      </c>
      <c r="F21" s="6" t="inlineStr">
        <is>
          <t>企业 12% / 个人出租住房 4%</t>
        </is>
      </c>
    </row>
    <row r="22">
      <c r="A22" s="7" t="inlineStr">
        <is>
          <t>2.4</t>
        </is>
      </c>
      <c r="B22" s="4" t="inlineStr">
        <is>
          <t>城镇土地使用税</t>
        </is>
      </c>
      <c r="C22" s="14">
        <f>ROUND(D22,2)</f>
        <v/>
      </c>
      <c r="D22" s="9" t="n"/>
      <c r="E22" s="6">
        <f> 年税额（元/㎡·年）</f>
        <v/>
      </c>
      <c r="F22" s="6" t="inlineStr">
        <is>
          <t>按当地地段标准，已含容积率口径</t>
        </is>
      </c>
    </row>
    <row r="23">
      <c r="A23" s="7" t="inlineStr">
        <is>
          <t>2.5</t>
        </is>
      </c>
      <c r="B23" s="4" t="inlineStr">
        <is>
          <t>印花税</t>
        </is>
      </c>
      <c r="C23" s="14">
        <f>ROUND((C10-C13-C16)*$D$23,2)</f>
        <v/>
      </c>
      <c r="D23" s="9" t="n"/>
      <c r="E23" s="6">
        <f> (有效毛收入 − 其他收入 − 增值税) × 1‰</f>
        <v/>
      </c>
      <c r="F23" s="6" t="inlineStr">
        <is>
          <t>个人出租住房常免征</t>
        </is>
      </c>
    </row>
    <row r="24">
      <c r="A24" s="7" t="inlineStr">
        <is>
          <t>2.6</t>
        </is>
      </c>
      <c r="B24" s="4" t="inlineStr">
        <is>
          <t>维修费</t>
        </is>
      </c>
      <c r="C24" s="14">
        <f>ROUND(D24*F24,2)</f>
        <v/>
      </c>
      <c r="D24" s="9" t="n"/>
      <c r="E24" s="6">
        <f> 建筑重置成本 × 2%</f>
        <v/>
      </c>
      <c r="F24" s="6" t="inlineStr">
        <is>
          <t>重置成本来源须写明</t>
        </is>
      </c>
    </row>
    <row r="25">
      <c r="A25" s="7" t="inlineStr">
        <is>
          <t>2.7</t>
        </is>
      </c>
      <c r="B25" s="4" t="inlineStr">
        <is>
          <t>保险费</t>
        </is>
      </c>
      <c r="C25" s="14">
        <f>ROUND(D25*F25,2)</f>
        <v/>
      </c>
      <c r="D25" s="9" t="n"/>
      <c r="E25" s="6">
        <f> 建筑重置成本 × 1‰</f>
        <v/>
      </c>
      <c r="F25" s="6" t="inlineStr">
        <is>
          <t>与维修费共用同一基数</t>
        </is>
      </c>
    </row>
    <row r="26">
      <c r="A26" s="7" t="inlineStr">
        <is>
          <t>3</t>
        </is>
      </c>
      <c r="B26" s="4" t="inlineStr">
        <is>
          <t>年净收益（A）</t>
        </is>
      </c>
      <c r="C26" s="14">
        <f>ROUND(C10-C14,2)</f>
        <v/>
      </c>
      <c r="D26" s="9" t="n"/>
      <c r="E26" s="6" t="inlineStr">
        <is>
          <t>3 = 1 − 2</t>
        </is>
      </c>
      <c r="F26" s="6" t="n"/>
    </row>
    <row r="27">
      <c r="A27" s="7" t="inlineStr">
        <is>
          <t>4</t>
        </is>
      </c>
      <c r="B27" s="4" t="inlineStr">
        <is>
          <t>报酬率（Y）</t>
        </is>
      </c>
      <c r="C27" s="18" t="n"/>
      <c r="D27" s="9" t="n"/>
      <c r="E27" s="6">
        <f> 安全利率 + 风险调整值（分项写明）；Y 必须大于 g</f>
        <v/>
      </c>
      <c r="F27" s="6" t="n"/>
    </row>
    <row r="28">
      <c r="A28" s="7" t="inlineStr">
        <is>
          <t>5</t>
        </is>
      </c>
      <c r="B28" s="4" t="inlineStr">
        <is>
          <t>净收益逐年递增比率（g）</t>
        </is>
      </c>
      <c r="C28" s="18" t="n"/>
      <c r="D28" s="9" t="n"/>
      <c r="E28" s="6" t="inlineStr">
        <is>
          <t>区域租售调查与预测；长期模型 g 宜低于 Y</t>
        </is>
      </c>
      <c r="F28" s="6" t="n"/>
    </row>
    <row r="29">
      <c r="A29" s="7" t="inlineStr">
        <is>
          <t>6</t>
        </is>
      </c>
      <c r="B29" s="4" t="inlineStr">
        <is>
          <t>可获收益年限（n）</t>
        </is>
      </c>
      <c r="C29" s="14">
        <f>ROUND((MIN($E$4,$G$4)-$C$4)/365,2)</f>
        <v/>
      </c>
      <c r="D29" s="9" t="n"/>
      <c r="E29" s="6">
        <f> (min(土地终止, 建筑终止) − 起始)/365</f>
        <v/>
      </c>
      <c r="F29" s="6" t="inlineStr">
        <is>
          <t>孰短原则，单位：年</t>
        </is>
      </c>
    </row>
    <row r="30">
      <c r="A30" s="7" t="inlineStr">
        <is>
          <t>7</t>
        </is>
      </c>
      <c r="B30" s="4" t="inlineStr">
        <is>
          <t>租金收益价值（单价）</t>
        </is>
      </c>
      <c r="C30" s="14">
        <f>ROUND(C26/(C27-C28)*(1-((1+C28)/(1+C27))^C29),0)</f>
        <v/>
      </c>
      <c r="D30" s="9" t="n"/>
      <c r="E30" s="6">
        <f> A/(Y−g) ×(1 − ((1+g)/(1+Y))^n)</f>
        <v/>
      </c>
      <c r="F30" s="6" t="inlineStr">
        <is>
          <t>取整</t>
        </is>
      </c>
    </row>
    <row r="31">
      <c r="A31" s="7" t="inlineStr">
        <is>
          <t>8</t>
        </is>
      </c>
      <c r="B31" s="4" t="inlineStr">
        <is>
          <t>剩余建筑物价值折现（单价 V′）</t>
        </is>
      </c>
      <c r="C31" s="17" t="n"/>
      <c r="D31" s="9" t="n"/>
      <c r="E31" s="6" t="inlineStr">
        <is>
          <t>有残值填正数，无残值填 0 并写明依据</t>
        </is>
      </c>
      <c r="F31" s="6" t="inlineStr">
        <is>
          <t>钢混无残值填 0</t>
        </is>
      </c>
    </row>
    <row r="32">
      <c r="A32" s="7" t="inlineStr">
        <is>
          <t>9</t>
        </is>
      </c>
      <c r="B32" s="4" t="inlineStr">
        <is>
          <t>收益价值</t>
        </is>
      </c>
      <c r="C32" s="14">
        <f>C30+C31</f>
        <v/>
      </c>
      <c r="D32" s="9" t="n"/>
      <c r="E32" s="6" t="inlineStr">
        <is>
          <t>单价（V）= 第7行 + 第8行；总价（万元）= ROUND(单价 × 面积/10000, 2)</t>
        </is>
      </c>
      <c r="F32" s="6" t="inlineStr">
        <is>
          <t>单价 + 残值折现</t>
        </is>
      </c>
    </row>
    <row r="33">
      <c r="B33" s="4" t="inlineStr">
        <is>
          <t>收益价值总价（万元）</t>
        </is>
      </c>
      <c r="C33" s="14">
        <f>ROUND(C32*$C$5/10000,2)</f>
        <v/>
      </c>
      <c r="E33" s="6">
        <f> ROUND(单价 × 可收益建筑面积 / 10000, 2)</f>
        <v/>
      </c>
      <c r="F33" s="6" t="inlineStr">
        <is>
          <t>与「估值结果汇总」一致</t>
        </is>
      </c>
    </row>
    <row r="34">
      <c r="B34" s="4" t="inlineStr">
        <is>
          <t>勾稽：Y &gt; g</t>
        </is>
      </c>
      <c r="C34" s="12">
        <f>IF(C27&gt;C28,"OK","不成立：该公式失效，须改装模型")</f>
        <v/>
      </c>
      <c r="E34" s="6" t="inlineStr">
        <is>
          <t>Y ≤ g 时等比递增年金公式不成立</t>
        </is>
      </c>
    </row>
    <row r="35">
      <c r="B35" s="4" t="inlineStr">
        <is>
          <t>勾稽：收益年限 ≥ 1</t>
        </is>
      </c>
      <c r="C35" s="12">
        <f>IF(C29&gt;=1,"OK","过短：须核对终止年限")</f>
        <v/>
      </c>
      <c r="E35" s="6" t="inlineStr">
        <is>
          <t>起点 = 评估基准日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48" customWidth="1" min="4" max="4"/>
    <col width="44" customWidth="1" min="5" max="5"/>
    <col width="4" customWidth="1" min="6" max="6"/>
  </cols>
  <sheetData>
    <row r="1">
      <c r="A1" s="1" t="inlineStr">
        <is>
          <t>成本法</t>
        </is>
      </c>
    </row>
    <row r="2">
      <c r="A2" s="2" t="inlineStr">
        <is>
          <t>单位：元/㎡，最后乘建筑面积得评估值；口径见 references/07。</t>
        </is>
      </c>
    </row>
    <row r="4">
      <c r="A4" s="4" t="inlineStr">
        <is>
          <t>建筑面积（㎡）</t>
        </is>
      </c>
      <c r="B4" s="17" t="n"/>
      <c r="C4" s="6" t="inlineStr">
        <is>
          <t>与「估值结果汇总」一致</t>
        </is>
      </c>
    </row>
    <row r="6">
      <c r="A6" s="7" t="inlineStr">
        <is>
          <t>序号</t>
        </is>
      </c>
      <c r="B6" s="7" t="inlineStr">
        <is>
          <t>测算项目</t>
        </is>
      </c>
      <c r="C6" s="7" t="inlineStr">
        <is>
          <t>取值</t>
        </is>
      </c>
      <c r="D6" s="7" t="inlineStr">
        <is>
          <t>取值说明 / 公式</t>
        </is>
      </c>
      <c r="E6" s="7" t="inlineStr">
        <is>
          <t>测算说明</t>
        </is>
      </c>
      <c r="F6" s="7" t="inlineStr"/>
    </row>
    <row r="7">
      <c r="A7" s="7" t="inlineStr">
        <is>
          <t>1</t>
        </is>
      </c>
      <c r="B7" s="4" t="inlineStr">
        <is>
          <t>建筑重置成本单价（元/㎡）</t>
        </is>
      </c>
      <c r="C7" s="17" t="n"/>
      <c r="D7" s="6">
        <f> 基础信息表「建筑重置成本」或分项构成（建安造价 × 综合费率）</f>
        <v/>
      </c>
      <c r="E7" s="6" t="inlineStr">
        <is>
          <t>更新重置成本，不含土地</t>
        </is>
      </c>
      <c r="F7" s="6" t="n"/>
    </row>
    <row r="8">
      <c r="A8" s="7" t="inlineStr">
        <is>
          <t>2</t>
        </is>
      </c>
      <c r="B8" s="4" t="inlineStr">
        <is>
          <t>已使用年限（年）</t>
        </is>
      </c>
      <c r="C8" s="17" t="n"/>
      <c r="D8" s="6">
        <f> 竣工/建成至基准日</f>
        <v/>
      </c>
      <c r="E8" s="6" t="n"/>
      <c r="F8" s="6" t="n"/>
    </row>
    <row r="9">
      <c r="A9" s="7" t="inlineStr">
        <is>
          <t>3</t>
        </is>
      </c>
      <c r="B9" s="4" t="inlineStr">
        <is>
          <t>经济耐用年限（年）</t>
        </is>
      </c>
      <c r="C9" s="17" t="n"/>
      <c r="D9" s="6">
        <f> 按结构取（见 references/07 第5节）</f>
        <v/>
      </c>
      <c r="E9" s="6" t="inlineStr">
        <is>
          <t>钢60-80 / 钢混50-60 / 砖混40-50 / 砖木30-40</t>
        </is>
      </c>
      <c r="F9" s="6" t="n"/>
    </row>
    <row r="10">
      <c r="A10" s="7" t="inlineStr">
        <is>
          <t>4</t>
        </is>
      </c>
      <c r="B10" s="4" t="inlineStr">
        <is>
          <t>尚可使用年限（年）</t>
        </is>
      </c>
      <c r="C10" s="17" t="n"/>
      <c r="D10" s="6" t="inlineStr">
        <is>
          <t>默认 = 经济耐用年限 − 已使用年限，结合现场勘察调整</t>
        </is>
      </c>
      <c r="E10" s="6" t="inlineStr">
        <is>
          <t>不得简单相减而不勘察</t>
        </is>
      </c>
      <c r="F10" s="6" t="n"/>
    </row>
    <row r="11">
      <c r="A11" s="7" t="inlineStr">
        <is>
          <t>5</t>
        </is>
      </c>
      <c r="B11" s="4" t="inlineStr">
        <is>
          <t>成新率</t>
        </is>
      </c>
      <c r="C11" s="19">
        <f>ROUND(C10/C9,4)</f>
        <v/>
      </c>
      <c r="D11" s="6">
        <f> ROUND(尚可使用年限 / 经济耐用年限, 4)</f>
        <v/>
      </c>
      <c r="E11" s="6" t="inlineStr">
        <is>
          <t>0 &lt; 成新率 ≤ 100%</t>
        </is>
      </c>
      <c r="F11" s="6" t="n"/>
    </row>
    <row r="12">
      <c r="A12" s="7" t="inlineStr">
        <is>
          <t>6</t>
        </is>
      </c>
      <c r="B12" s="4" t="inlineStr">
        <is>
          <t>建筑物评估单价（元/㎡）</t>
        </is>
      </c>
      <c r="C12" s="14">
        <f>ROUND(C7*C11,-1)</f>
        <v/>
      </c>
      <c r="D12" s="6">
        <f> ROUND(建筑重置成本单价 × 成新率, -1)</f>
        <v/>
      </c>
      <c r="E12" s="6" t="n"/>
      <c r="F12" s="6" t="n"/>
    </row>
    <row r="13">
      <c r="A13" s="7" t="inlineStr">
        <is>
          <t>7</t>
        </is>
      </c>
      <c r="B13" s="4" t="inlineStr">
        <is>
          <t>土地单价（元/㎡）</t>
        </is>
      </c>
      <c r="C13" s="17" t="n"/>
      <c r="D13" s="6">
        <f> 成本逼近法 / 基准地价系数修正法 / 市场法</f>
        <v/>
      </c>
      <c r="E13" s="6" t="inlineStr">
        <is>
          <t>与建筑物同一基准日与内涵</t>
        </is>
      </c>
      <c r="F13" s="6" t="n"/>
    </row>
    <row r="14">
      <c r="A14" s="7" t="inlineStr">
        <is>
          <t>8</t>
        </is>
      </c>
      <c r="B14" s="4" t="inlineStr">
        <is>
          <t>房地产积算单价（元/㎡）</t>
        </is>
      </c>
      <c r="C14" s="14">
        <f>ROUND(C12+C13,-1)</f>
        <v/>
      </c>
      <c r="D14" s="6">
        <f> ROUND(建筑物评估单价 + 土地单价, -1)</f>
        <v/>
      </c>
      <c r="E14" s="6" t="n"/>
      <c r="F14" s="6" t="n"/>
    </row>
    <row r="15">
      <c r="A15" s="7" t="inlineStr">
        <is>
          <t>9</t>
        </is>
      </c>
      <c r="B15" s="4" t="inlineStr">
        <is>
          <t>房地产评估值（元）</t>
        </is>
      </c>
      <c r="C15" s="14">
        <f>ROUND(C14*$B$4,-2)</f>
        <v/>
      </c>
      <c r="D15" s="6">
        <f> ROUND(房地产积算单价 × 建筑面积, -2)</f>
        <v/>
      </c>
      <c r="E15" s="6" t="n"/>
      <c r="F15" s="6" t="n"/>
    </row>
    <row r="17">
      <c r="A17" s="7" t="inlineStr">
        <is>
          <t>勾稽</t>
        </is>
      </c>
      <c r="B17" s="4" t="inlineStr">
        <is>
          <t>重置成本 &gt; 0</t>
        </is>
      </c>
      <c r="C17" s="12">
        <f>IF(C7&gt;0,"OK","须填写重置成本")</f>
        <v/>
      </c>
      <c r="E17" s="6" t="inlineStr">
        <is>
          <t>见 references/07 第7节</t>
        </is>
      </c>
    </row>
    <row r="18">
      <c r="A18" s="7" t="inlineStr">
        <is>
          <t>勾稽</t>
        </is>
      </c>
      <c r="B18" s="4" t="inlineStr">
        <is>
          <t>成新率区间 0–100%</t>
        </is>
      </c>
      <c r="C18" s="12">
        <f>IF(AND(C11&gt;0,C11&lt;=1),"OK","超限：须说明")</f>
        <v/>
      </c>
      <c r="E18" s="6" t="inlineStr">
        <is>
          <t>见 references/07 第7节</t>
        </is>
      </c>
    </row>
    <row r="19">
      <c r="A19" s="7" t="inlineStr">
        <is>
          <t>勾稽</t>
        </is>
      </c>
      <c r="B19" s="4" t="inlineStr">
        <is>
          <t>土地单价 ≥ 0</t>
        </is>
      </c>
      <c r="C19" s="12">
        <f>IF(C13&gt;=0,"OK","须核对")</f>
        <v/>
      </c>
      <c r="E19" s="6" t="inlineStr">
        <is>
          <t>见 references/07 第7节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6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2" customWidth="1" min="15" max="15"/>
    <col width="26" customWidth="1" min="16" max="16"/>
  </cols>
  <sheetData>
    <row r="1">
      <c r="A1" s="1" t="inlineStr">
        <is>
          <t>估值结果汇总</t>
        </is>
      </c>
    </row>
    <row r="2">
      <c r="A2" s="2" t="inlineStr">
        <is>
          <t>投资性房地产-房屋公允模式口径；序号唯一，合计行必须为公式。</t>
        </is>
      </c>
    </row>
    <row r="4">
      <c r="A4" s="7" t="inlineStr">
        <is>
          <t>序号</t>
        </is>
      </c>
      <c r="B4" s="7" t="inlineStr">
        <is>
          <t>权证编号</t>
        </is>
      </c>
      <c r="C4" s="7" t="inlineStr">
        <is>
          <t>房屋名称</t>
        </is>
      </c>
      <c r="D4" s="7" t="inlineStr">
        <is>
          <t>坐落</t>
        </is>
      </c>
      <c r="E4" s="7" t="inlineStr">
        <is>
          <t>权证用途</t>
        </is>
      </c>
      <c r="F4" s="7" t="inlineStr">
        <is>
          <t>建筑面积(㎡)</t>
        </is>
      </c>
      <c r="G4" s="7" t="inlineStr">
        <is>
          <t>收益法单价</t>
        </is>
      </c>
      <c r="H4" s="7" t="inlineStr">
        <is>
          <t>市场法单价</t>
        </is>
      </c>
      <c r="I4" s="7" t="inlineStr">
        <is>
          <t>成本法单价</t>
        </is>
      </c>
      <c r="J4" s="7" t="inlineStr">
        <is>
          <t>采用的方法</t>
        </is>
      </c>
      <c r="K4" s="7" t="inlineStr">
        <is>
          <t>采用单价(元/㎡)</t>
        </is>
      </c>
      <c r="L4" s="7" t="inlineStr">
        <is>
          <t>评估价值(元)</t>
        </is>
      </c>
      <c r="M4" s="7" t="inlineStr">
        <is>
          <t>账面价值(元)</t>
        </is>
      </c>
      <c r="N4" s="7" t="inlineStr">
        <is>
          <t>增减值(元)</t>
        </is>
      </c>
      <c r="O4" s="7" t="inlineStr">
        <is>
          <t>增值率%</t>
        </is>
      </c>
      <c r="P4" s="7" t="inlineStr">
        <is>
          <t>备注</t>
        </is>
      </c>
    </row>
    <row r="5">
      <c r="A5" s="9" t="n">
        <v>1</v>
      </c>
      <c r="B5" s="8" t="n"/>
      <c r="C5" s="8" t="n"/>
      <c r="D5" s="8" t="n"/>
      <c r="E5" s="8" t="n"/>
      <c r="F5" s="8" t="n"/>
      <c r="G5" s="13">
        <f>'收益法'!C30</f>
        <v/>
      </c>
      <c r="H5" s="13">
        <f>'市场法'!B39</f>
        <v/>
      </c>
      <c r="I5" s="13">
        <f>'成本法'!C14</f>
        <v/>
      </c>
      <c r="J5" s="9" t="n"/>
      <c r="K5" s="13">
        <f>IF(ISNUMBER(SEARCH("收益法",J5)),G5,IF(ISNUMBER(SEARCH("市场法",J5)),H5,IF(ISNUMBER(SEARCH("成本法",J5)),I5,"")))</f>
        <v/>
      </c>
      <c r="L5" s="13">
        <f>IF(K5="","",ROUND(K5*F5,0))</f>
        <v/>
      </c>
      <c r="M5" s="20" t="n"/>
      <c r="N5" s="13">
        <f>IF(OR(L5="",M5=""),"",L5-M5)</f>
        <v/>
      </c>
      <c r="O5" s="14">
        <f>IFERROR(N5/ABS(M5)*100,"")</f>
        <v/>
      </c>
      <c r="P5" s="8" t="n"/>
    </row>
    <row r="6">
      <c r="A6" s="9" t="n">
        <v>2</v>
      </c>
      <c r="B6" s="8" t="n"/>
      <c r="C6" s="8" t="n"/>
      <c r="D6" s="8" t="n"/>
      <c r="E6" s="8" t="n"/>
      <c r="F6" s="8" t="n"/>
      <c r="G6" s="13" t="n"/>
      <c r="H6" s="13" t="n"/>
      <c r="I6" s="13" t="n"/>
      <c r="J6" s="9" t="n"/>
      <c r="K6" s="13">
        <f>IF(ISNUMBER(SEARCH("收益法",J6)),G6,IF(ISNUMBER(SEARCH("市场法",J6)),H6,IF(ISNUMBER(SEARCH("成本法",J6)),I6,"")))</f>
        <v/>
      </c>
      <c r="L6" s="13">
        <f>IF(K6="","",ROUND(K6*F6,0))</f>
        <v/>
      </c>
      <c r="M6" s="20" t="n"/>
      <c r="N6" s="13">
        <f>IF(OR(L6="",M6=""),"",L6-M6)</f>
        <v/>
      </c>
      <c r="O6" s="14">
        <f>IFERROR(N6/ABS(M6)*100,"")</f>
        <v/>
      </c>
      <c r="P6" s="8" t="n"/>
    </row>
    <row r="7">
      <c r="A7" s="9" t="n">
        <v>3</v>
      </c>
      <c r="B7" s="8" t="n"/>
      <c r="C7" s="8" t="n"/>
      <c r="D7" s="8" t="n"/>
      <c r="E7" s="8" t="n"/>
      <c r="F7" s="8" t="n"/>
      <c r="G7" s="13" t="n"/>
      <c r="H7" s="13" t="n"/>
      <c r="I7" s="13" t="n"/>
      <c r="J7" s="9" t="n"/>
      <c r="K7" s="13">
        <f>IF(ISNUMBER(SEARCH("收益法",J7)),G7,IF(ISNUMBER(SEARCH("市场法",J7)),H7,IF(ISNUMBER(SEARCH("成本法",J7)),I7,"")))</f>
        <v/>
      </c>
      <c r="L7" s="13">
        <f>IF(K7="","",ROUND(K7*F7,0))</f>
        <v/>
      </c>
      <c r="M7" s="20" t="n"/>
      <c r="N7" s="13">
        <f>IF(OR(L7="",M7=""),"",L7-M7)</f>
        <v/>
      </c>
      <c r="O7" s="14">
        <f>IFERROR(N7/ABS(M7)*100,"")</f>
        <v/>
      </c>
      <c r="P7" s="8" t="n"/>
    </row>
    <row r="8">
      <c r="A8" s="9" t="n"/>
      <c r="B8" s="8" t="n"/>
      <c r="C8" s="8" t="n"/>
      <c r="D8" s="8" t="n"/>
      <c r="E8" s="8" t="n"/>
      <c r="F8" s="8" t="n"/>
      <c r="G8" s="13" t="n"/>
      <c r="H8" s="13" t="n"/>
      <c r="I8" s="13" t="n"/>
      <c r="J8" s="9" t="n"/>
      <c r="K8" s="13">
        <f>IF(ISNUMBER(SEARCH("收益法",J8)),G8,IF(ISNUMBER(SEARCH("市场法",J8)),H8,IF(ISNUMBER(SEARCH("成本法",J8)),I8,"")))</f>
        <v/>
      </c>
      <c r="L8" s="13">
        <f>IF(K8="","",ROUND(K8*F8,0))</f>
        <v/>
      </c>
      <c r="M8" s="20" t="n"/>
      <c r="N8" s="13">
        <f>IF(OR(L8="",M8=""),"",L8-M8)</f>
        <v/>
      </c>
      <c r="O8" s="14">
        <f>IFERROR(N8/ABS(M8)*100,"")</f>
        <v/>
      </c>
      <c r="P8" s="8" t="n"/>
    </row>
    <row r="9">
      <c r="A9" s="9" t="n"/>
      <c r="B9" s="8" t="n"/>
      <c r="C9" s="8" t="n"/>
      <c r="D9" s="8" t="n"/>
      <c r="E9" s="8" t="n"/>
      <c r="F9" s="8" t="n"/>
      <c r="G9" s="13" t="n"/>
      <c r="H9" s="13" t="n"/>
      <c r="I9" s="13" t="n"/>
      <c r="J9" s="9" t="n"/>
      <c r="K9" s="13">
        <f>IF(ISNUMBER(SEARCH("收益法",J9)),G9,IF(ISNUMBER(SEARCH("市场法",J9)),H9,IF(ISNUMBER(SEARCH("成本法",J9)),I9,"")))</f>
        <v/>
      </c>
      <c r="L9" s="13">
        <f>IF(K9="","",ROUND(K9*F9,0))</f>
        <v/>
      </c>
      <c r="M9" s="20" t="n"/>
      <c r="N9" s="13">
        <f>IF(OR(L9="",M9=""),"",L9-M9)</f>
        <v/>
      </c>
      <c r="O9" s="14">
        <f>IFERROR(N9/ABS(M9)*100,"")</f>
        <v/>
      </c>
      <c r="P9" s="8" t="n"/>
    </row>
    <row r="10">
      <c r="A10" s="9" t="n"/>
      <c r="B10" s="8" t="n"/>
      <c r="C10" s="8" t="n"/>
      <c r="D10" s="8" t="n"/>
      <c r="E10" s="8" t="n"/>
      <c r="F10" s="8" t="n"/>
      <c r="G10" s="13" t="n"/>
      <c r="H10" s="13" t="n"/>
      <c r="I10" s="13" t="n"/>
      <c r="J10" s="9" t="n"/>
      <c r="K10" s="13">
        <f>IF(ISNUMBER(SEARCH("收益法",J10)),G10,IF(ISNUMBER(SEARCH("市场法",J10)),H10,IF(ISNUMBER(SEARCH("成本法",J10)),I10,"")))</f>
        <v/>
      </c>
      <c r="L10" s="13">
        <f>IF(K10="","",ROUND(K10*F10,0))</f>
        <v/>
      </c>
      <c r="M10" s="20" t="n"/>
      <c r="N10" s="13">
        <f>IF(OR(L10="",M10=""),"",L10-M10)</f>
        <v/>
      </c>
      <c r="O10" s="14">
        <f>IFERROR(N10/ABS(M10)*100,"")</f>
        <v/>
      </c>
      <c r="P10" s="8" t="n"/>
    </row>
    <row r="11">
      <c r="A11" s="9" t="n"/>
      <c r="B11" s="8" t="n"/>
      <c r="C11" s="8" t="n"/>
      <c r="D11" s="8" t="n"/>
      <c r="E11" s="8" t="n"/>
      <c r="F11" s="8" t="n"/>
      <c r="G11" s="13" t="n"/>
      <c r="H11" s="13" t="n"/>
      <c r="I11" s="13" t="n"/>
      <c r="J11" s="9" t="n"/>
      <c r="K11" s="13">
        <f>IF(ISNUMBER(SEARCH("收益法",J11)),G11,IF(ISNUMBER(SEARCH("市场法",J11)),H11,IF(ISNUMBER(SEARCH("成本法",J11)),I11,"")))</f>
        <v/>
      </c>
      <c r="L11" s="13">
        <f>IF(K11="","",ROUND(K11*F11,0))</f>
        <v/>
      </c>
      <c r="M11" s="20" t="n"/>
      <c r="N11" s="13">
        <f>IF(OR(L11="",M11=""),"",L11-M11)</f>
        <v/>
      </c>
      <c r="O11" s="14">
        <f>IFERROR(N11/ABS(M11)*100,"")</f>
        <v/>
      </c>
      <c r="P11" s="8" t="n"/>
    </row>
    <row r="12">
      <c r="A12" s="9" t="n"/>
      <c r="B12" s="8" t="n"/>
      <c r="C12" s="8" t="n"/>
      <c r="D12" s="8" t="n"/>
      <c r="E12" s="8" t="n"/>
      <c r="F12" s="8" t="n"/>
      <c r="G12" s="13" t="n"/>
      <c r="H12" s="13" t="n"/>
      <c r="I12" s="13" t="n"/>
      <c r="J12" s="9" t="n"/>
      <c r="K12" s="13">
        <f>IF(ISNUMBER(SEARCH("收益法",J12)),G12,IF(ISNUMBER(SEARCH("市场法",J12)),H12,IF(ISNUMBER(SEARCH("成本法",J12)),I12,"")))</f>
        <v/>
      </c>
      <c r="L12" s="13">
        <f>IF(K12="","",ROUND(K12*F12,0))</f>
        <v/>
      </c>
      <c r="M12" s="20" t="n"/>
      <c r="N12" s="13">
        <f>IF(OR(L12="",M12=""),"",L12-M12)</f>
        <v/>
      </c>
      <c r="O12" s="14">
        <f>IFERROR(N12/ABS(M12)*100,"")</f>
        <v/>
      </c>
      <c r="P12" s="8" t="n"/>
    </row>
    <row r="13">
      <c r="A13" s="9" t="n"/>
      <c r="B13" s="8" t="n"/>
      <c r="C13" s="8" t="n"/>
      <c r="D13" s="8" t="n"/>
      <c r="E13" s="8" t="n"/>
      <c r="F13" s="8" t="n"/>
      <c r="G13" s="13" t="n"/>
      <c r="H13" s="13" t="n"/>
      <c r="I13" s="13" t="n"/>
      <c r="J13" s="9" t="n"/>
      <c r="K13" s="13">
        <f>IF(ISNUMBER(SEARCH("收益法",J13)),G13,IF(ISNUMBER(SEARCH("市场法",J13)),H13,IF(ISNUMBER(SEARCH("成本法",J13)),I13,"")))</f>
        <v/>
      </c>
      <c r="L13" s="13">
        <f>IF(K13="","",ROUND(K13*F13,0))</f>
        <v/>
      </c>
      <c r="M13" s="20" t="n"/>
      <c r="N13" s="13">
        <f>IF(OR(L13="",M13=""),"",L13-M13)</f>
        <v/>
      </c>
      <c r="O13" s="14">
        <f>IFERROR(N13/ABS(M13)*100,"")</f>
        <v/>
      </c>
      <c r="P13" s="8" t="n"/>
    </row>
    <row r="14">
      <c r="A14" s="9" t="n"/>
      <c r="B14" s="8" t="n"/>
      <c r="C14" s="8" t="n"/>
      <c r="D14" s="8" t="n"/>
      <c r="E14" s="8" t="n"/>
      <c r="F14" s="8" t="n"/>
      <c r="G14" s="13" t="n"/>
      <c r="H14" s="13" t="n"/>
      <c r="I14" s="13" t="n"/>
      <c r="J14" s="9" t="n"/>
      <c r="K14" s="13">
        <f>IF(ISNUMBER(SEARCH("收益法",J14)),G14,IF(ISNUMBER(SEARCH("市场法",J14)),H14,IF(ISNUMBER(SEARCH("成本法",J14)),I14,"")))</f>
        <v/>
      </c>
      <c r="L14" s="13">
        <f>IF(K14="","",ROUND(K14*F14,0))</f>
        <v/>
      </c>
      <c r="M14" s="20" t="n"/>
      <c r="N14" s="13">
        <f>IF(OR(L14="",M14=""),"",L14-M14)</f>
        <v/>
      </c>
      <c r="O14" s="14">
        <f>IFERROR(N14/ABS(M14)*100,"")</f>
        <v/>
      </c>
      <c r="P14" s="8" t="n"/>
    </row>
    <row r="15">
      <c r="A15" s="7" t="inlineStr">
        <is>
          <t>合计</t>
        </is>
      </c>
      <c r="B15" s="11" t="n"/>
      <c r="C15" s="11" t="n"/>
      <c r="D15" s="11" t="n"/>
      <c r="E15" s="11" t="n"/>
      <c r="F15" s="21">
        <f>SUM(F5:F14)</f>
        <v/>
      </c>
      <c r="G15" s="11" t="n"/>
      <c r="H15" s="11" t="n"/>
      <c r="I15" s="11" t="n"/>
      <c r="J15" s="11" t="n"/>
      <c r="K15" s="11" t="n"/>
      <c r="L15" s="21">
        <f>SUM(L5:L14)</f>
        <v/>
      </c>
      <c r="M15" s="21">
        <f>SUM(M5:M14)</f>
        <v/>
      </c>
      <c r="N15" s="21">
        <f>SUM(N5:N14)</f>
        <v/>
      </c>
      <c r="O15" s="21">
        <f>IFERROR(N15/ABS(M15)*100,"")</f>
        <v/>
      </c>
      <c r="P15" s="11" t="n"/>
    </row>
    <row r="17">
      <c r="A17" s="3" t="inlineStr">
        <is>
          <t>勾稽检查</t>
        </is>
      </c>
      <c r="B17" s="7" t="inlineStr">
        <is>
          <t>检查项</t>
        </is>
      </c>
      <c r="C17" s="7" t="inlineStr">
        <is>
          <t>结果</t>
        </is>
      </c>
      <c r="D17" s="7" t="inlineStr">
        <is>
          <t>说明</t>
        </is>
      </c>
    </row>
    <row r="18">
      <c r="B18" s="4" t="inlineStr">
        <is>
          <t>序号唯一性</t>
        </is>
      </c>
      <c r="C18" s="12">
        <f>IF(SUMPRODUCT(--((A5:A14&lt;&gt;"")/COUNTIF(A5:A14,A5:A14&amp;"")))=COUNTA(A5:A14),"唯一 OK","序号重复")</f>
        <v/>
      </c>
      <c r="D18" s="6" t="inlineStr">
        <is>
          <t>见 references/06 第4节</t>
        </is>
      </c>
    </row>
    <row r="19">
      <c r="B19" s="4" t="inlineStr">
        <is>
          <t>汇总面积 = SUM 明细</t>
        </is>
      </c>
      <c r="C19" s="12">
        <f>IF(F15=SUM(F5:F14),"一致 OK","需核对")</f>
        <v/>
      </c>
      <c r="D19" s="6" t="inlineStr">
        <is>
          <t>见 references/06 第4节</t>
        </is>
      </c>
    </row>
    <row r="20">
      <c r="B20" s="4" t="inlineStr">
        <is>
          <t>采用单价非空</t>
        </is>
      </c>
      <c r="C20" s="12">
        <f>IF(COUNT(K5:K14)=COUNTA(A5:A14),"已填 OK","有未填行")</f>
        <v/>
      </c>
      <c r="D20" s="6" t="inlineStr">
        <is>
          <t>见 references/06 第4节</t>
        </is>
      </c>
    </row>
    <row r="21">
      <c r="B21" s="4" t="inlineStr">
        <is>
          <t>评估价值与单价×面积尾差</t>
        </is>
      </c>
      <c r="C21" s="12">
        <f>IF(ABS(L15-SUM(ROUND(K5:K14*F5:F14,0)))&lt;1,"尾差 OK","需核对")</f>
        <v/>
      </c>
      <c r="D21" s="6" t="inlineStr">
        <is>
          <t>见 references/06 第4节</t>
        </is>
      </c>
    </row>
    <row r="23">
      <c r="A23" s="3" t="inlineStr">
        <is>
          <t>三、汇总依据与限制</t>
        </is>
      </c>
    </row>
    <row r="24">
      <c r="A24" s="7" t="inlineStr">
        <is>
          <t>项目</t>
        </is>
      </c>
      <c r="B24" s="7" t="inlineStr">
        <is>
          <t>内容</t>
        </is>
      </c>
      <c r="C24" s="7" t="inlineStr">
        <is>
          <t>依据 / 来源</t>
        </is>
      </c>
    </row>
    <row r="25">
      <c r="A25" s="4" t="inlineStr">
        <is>
          <t>权重 / 汇总依据</t>
        </is>
      </c>
      <c r="B25" s="8" t="n"/>
      <c r="C25" s="6" t="inlineStr">
        <is>
          <t>多方法或多案例如何汇总到最终采用单价（权重、取舍规则），须可复核</t>
        </is>
      </c>
    </row>
    <row r="26">
      <c r="A26" s="4" t="inlineStr">
        <is>
          <t>已知限制</t>
        </is>
      </c>
      <c r="B26" s="8" t="n"/>
      <c r="C26" s="6" t="inlineStr">
        <is>
          <t>资料、口径、能力上的限制（例如没有重算能力、案例数量不足）</t>
        </is>
      </c>
    </row>
    <row r="27">
      <c r="A27" s="4" t="inlineStr">
        <is>
          <t>待确认事项</t>
        </is>
      </c>
      <c r="B27" s="8" t="n"/>
      <c r="C27" s="6" t="inlineStr">
        <is>
          <t>与「估值结果.json」的 manual_confirmation_items 一致，逐条一行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2026-10-12T21:47:59Z</dcterms:created>
  <dcterms:modified xsi:type="dcterms:W3CDTF">2026-10-12T21:47:59Z</dcterms:modified>
</cp:coreProperties>
</file>